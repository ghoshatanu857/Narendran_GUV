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Atanu\Narendran_GUV\Narendran_GUV\Narendran _ swathi\"/>
    </mc:Choice>
  </mc:AlternateContent>
  <bookViews>
    <workbookView xWindow="0" yWindow="0" windowWidth="14385" windowHeight="99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1" l="1"/>
  <c r="C25" i="1" l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2" i="1"/>
</calcChain>
</file>

<file path=xl/sharedStrings.xml><?xml version="1.0" encoding="utf-8"?>
<sst xmlns="http://schemas.openxmlformats.org/spreadsheetml/2006/main" count="11" uniqueCount="11">
  <si>
    <t>d2</t>
  </si>
  <si>
    <t xml:space="preserve">Calibration Factor from plots </t>
  </si>
  <si>
    <t xml:space="preserve">beta </t>
  </si>
  <si>
    <t>nm/V</t>
  </si>
  <si>
    <t xml:space="preserve">beta^2 </t>
  </si>
  <si>
    <r>
      <t>nm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/V</t>
    </r>
    <r>
      <rPr>
        <vertAlign val="superscript"/>
        <sz val="11"/>
        <color theme="1"/>
        <rFont val="Calibri"/>
        <family val="2"/>
        <scheme val="minor"/>
      </rPr>
      <t>2</t>
    </r>
  </si>
  <si>
    <t>d1 (used)</t>
  </si>
  <si>
    <t>d3 (used)</t>
  </si>
  <si>
    <r>
      <rPr>
        <sz val="11"/>
        <color theme="1"/>
        <rFont val="Calibri"/>
        <family val="2"/>
        <scheme val="minor"/>
      </rPr>
      <t>x shift around the membrane = 4 * 130 nm</t>
    </r>
    <r>
      <rPr>
        <b/>
        <sz val="11"/>
        <color theme="1"/>
        <rFont val="Calibri"/>
        <family val="2"/>
        <scheme val="minor"/>
      </rPr>
      <t xml:space="preserve"> </t>
    </r>
  </si>
  <si>
    <t>Voltage change corresponding to the x shift = 0.001174 V</t>
  </si>
  <si>
    <t>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</si>
</sst>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5"/>
  <sheetViews>
    <sheetView tabSelected="1" workbookViewId="0">
      <selection activeCell="M9" sqref="M9"/>
    </sheetView>
  </sheetViews>
  <sheetFormatPr defaultRowHeight="15" x14ac:dyDescent="0.25"/>
  <cols>
    <col min="9" max="9" width="12" bestFit="1" customWidth="1"/>
  </cols>
  <sheetData>
    <row r="1" spans="2:6" x14ac:dyDescent="0.25">
      <c r="B1" s="1" t="s">
        <v>6</v>
      </c>
      <c r="C1" t="s">
        <v>0</v>
      </c>
      <c r="D1" s="1" t="s">
        <v>7</v>
      </c>
      <c r="E1" s="1" t="s">
        <v>10</v>
      </c>
    </row>
    <row r="2" spans="2:6" x14ac:dyDescent="0.25">
      <c r="B2">
        <v>915</v>
      </c>
      <c r="C2">
        <v>897</v>
      </c>
      <c r="D2">
        <v>903</v>
      </c>
      <c r="E2">
        <f>D2-915</f>
        <v>-12</v>
      </c>
      <c r="F2">
        <f>D3-D2</f>
        <v>2</v>
      </c>
    </row>
    <row r="3" spans="2:6" x14ac:dyDescent="0.25">
      <c r="C3">
        <v>901</v>
      </c>
      <c r="D3">
        <v>905</v>
      </c>
      <c r="E3">
        <f t="shared" ref="E3:E16" si="0">D3-915</f>
        <v>-10</v>
      </c>
      <c r="F3">
        <f t="shared" ref="F3:F15" si="1">D4-D3</f>
        <v>5</v>
      </c>
    </row>
    <row r="4" spans="2:6" x14ac:dyDescent="0.25">
      <c r="C4">
        <v>907</v>
      </c>
      <c r="D4">
        <v>910</v>
      </c>
      <c r="E4">
        <f t="shared" si="0"/>
        <v>-5</v>
      </c>
      <c r="F4">
        <f t="shared" si="1"/>
        <v>3</v>
      </c>
    </row>
    <row r="5" spans="2:6" x14ac:dyDescent="0.25">
      <c r="C5">
        <v>910</v>
      </c>
      <c r="D5">
        <v>913</v>
      </c>
      <c r="E5">
        <f t="shared" si="0"/>
        <v>-2</v>
      </c>
      <c r="F5">
        <f t="shared" si="1"/>
        <v>2</v>
      </c>
    </row>
    <row r="6" spans="2:6" x14ac:dyDescent="0.25">
      <c r="C6">
        <v>913</v>
      </c>
      <c r="D6">
        <v>915</v>
      </c>
      <c r="E6">
        <f t="shared" si="0"/>
        <v>0</v>
      </c>
      <c r="F6">
        <f t="shared" si="1"/>
        <v>2</v>
      </c>
    </row>
    <row r="7" spans="2:6" x14ac:dyDescent="0.25">
      <c r="C7">
        <v>918</v>
      </c>
      <c r="D7">
        <v>917</v>
      </c>
      <c r="E7">
        <f t="shared" si="0"/>
        <v>2</v>
      </c>
      <c r="F7">
        <f t="shared" si="1"/>
        <v>4</v>
      </c>
    </row>
    <row r="8" spans="2:6" x14ac:dyDescent="0.25">
      <c r="C8">
        <v>923</v>
      </c>
      <c r="D8">
        <v>921</v>
      </c>
      <c r="E8">
        <f t="shared" si="0"/>
        <v>6</v>
      </c>
      <c r="F8">
        <f t="shared" si="1"/>
        <v>4</v>
      </c>
    </row>
    <row r="9" spans="2:6" x14ac:dyDescent="0.25">
      <c r="C9">
        <v>927</v>
      </c>
      <c r="D9">
        <v>925</v>
      </c>
      <c r="E9">
        <f t="shared" si="0"/>
        <v>10</v>
      </c>
      <c r="F9">
        <f t="shared" si="1"/>
        <v>4</v>
      </c>
    </row>
    <row r="10" spans="2:6" x14ac:dyDescent="0.25">
      <c r="C10">
        <v>925</v>
      </c>
      <c r="D10">
        <v>929</v>
      </c>
      <c r="E10">
        <f t="shared" si="0"/>
        <v>14</v>
      </c>
      <c r="F10">
        <f t="shared" si="1"/>
        <v>-2</v>
      </c>
    </row>
    <row r="11" spans="2:6" x14ac:dyDescent="0.25">
      <c r="C11">
        <v>922</v>
      </c>
      <c r="D11">
        <v>927</v>
      </c>
      <c r="E11">
        <f t="shared" si="0"/>
        <v>12</v>
      </c>
      <c r="F11">
        <f t="shared" si="1"/>
        <v>-3</v>
      </c>
    </row>
    <row r="12" spans="2:6" x14ac:dyDescent="0.25">
      <c r="C12">
        <v>918</v>
      </c>
      <c r="D12">
        <v>924</v>
      </c>
      <c r="E12">
        <f t="shared" si="0"/>
        <v>9</v>
      </c>
      <c r="F12">
        <f t="shared" si="1"/>
        <v>-4</v>
      </c>
    </row>
    <row r="13" spans="2:6" x14ac:dyDescent="0.25">
      <c r="C13">
        <v>914</v>
      </c>
      <c r="D13">
        <v>920</v>
      </c>
      <c r="E13">
        <f t="shared" si="0"/>
        <v>5</v>
      </c>
      <c r="F13">
        <f t="shared" si="1"/>
        <v>-4</v>
      </c>
    </row>
    <row r="14" spans="2:6" x14ac:dyDescent="0.25">
      <c r="D14">
        <v>916</v>
      </c>
      <c r="E14">
        <f t="shared" si="0"/>
        <v>1</v>
      </c>
      <c r="F14">
        <f t="shared" si="1"/>
        <v>-7</v>
      </c>
    </row>
    <row r="15" spans="2:6" x14ac:dyDescent="0.25">
      <c r="D15">
        <v>909</v>
      </c>
      <c r="E15">
        <f t="shared" si="0"/>
        <v>-6</v>
      </c>
      <c r="F15">
        <f t="shared" si="1"/>
        <v>-3</v>
      </c>
    </row>
    <row r="16" spans="2:6" x14ac:dyDescent="0.25">
      <c r="D16">
        <v>906</v>
      </c>
      <c r="E16">
        <f t="shared" si="0"/>
        <v>-9</v>
      </c>
    </row>
    <row r="20" spans="2:4" x14ac:dyDescent="0.25">
      <c r="B20" s="1" t="s">
        <v>1</v>
      </c>
    </row>
    <row r="21" spans="2:4" x14ac:dyDescent="0.25">
      <c r="B21" s="1"/>
    </row>
    <row r="22" spans="2:4" x14ac:dyDescent="0.25">
      <c r="B22" s="1" t="s">
        <v>8</v>
      </c>
    </row>
    <row r="23" spans="2:4" x14ac:dyDescent="0.25">
      <c r="B23" t="s">
        <v>9</v>
      </c>
    </row>
    <row r="24" spans="2:4" x14ac:dyDescent="0.25">
      <c r="B24" t="s">
        <v>2</v>
      </c>
      <c r="C24">
        <f>(4*130)/0.001174</f>
        <v>442930.15332197619</v>
      </c>
      <c r="D24" t="s">
        <v>3</v>
      </c>
    </row>
    <row r="25" spans="2:4" ht="17.25" x14ac:dyDescent="0.25">
      <c r="B25" t="s">
        <v>4</v>
      </c>
      <c r="C25">
        <f>C24*C24</f>
        <v>196187120721.82935</v>
      </c>
      <c r="D25" t="s">
        <v>5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 N P</dc:creator>
  <cp:lastModifiedBy>Optical Tweezer</cp:lastModifiedBy>
  <dcterms:created xsi:type="dcterms:W3CDTF">2026-02-12T08:01:23Z</dcterms:created>
  <dcterms:modified xsi:type="dcterms:W3CDTF">2026-02-16T07:59:01Z</dcterms:modified>
</cp:coreProperties>
</file>