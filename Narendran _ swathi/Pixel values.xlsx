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tanu\Narendran_GUV\Narendran_GUV\Narendran _ swathi\"/>
    </mc:Choice>
  </mc:AlternateContent>
  <bookViews>
    <workbookView xWindow="0" yWindow="0" windowWidth="14385" windowHeight="99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J25" i="1"/>
  <c r="G29" i="1" l="1"/>
  <c r="F29" i="1"/>
  <c r="G28" i="1"/>
  <c r="F28" i="1"/>
  <c r="E28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5" i="1"/>
  <c r="G19" i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5" i="1"/>
  <c r="G5" i="1" s="1"/>
</calcChain>
</file>

<file path=xl/sharedStrings.xml><?xml version="1.0" encoding="utf-8"?>
<sst xmlns="http://schemas.openxmlformats.org/spreadsheetml/2006/main" count="10" uniqueCount="10">
  <si>
    <t>d3</t>
  </si>
  <si>
    <t>d2</t>
  </si>
  <si>
    <t>d1</t>
  </si>
  <si>
    <t xml:space="preserve">Calibration Factor from plots </t>
  </si>
  <si>
    <t xml:space="preserve">4*130 nm </t>
  </si>
  <si>
    <t>0.001174V</t>
  </si>
  <si>
    <t xml:space="preserve">beta </t>
  </si>
  <si>
    <t>nm/V</t>
  </si>
  <si>
    <t xml:space="preserve">beta^2 </t>
  </si>
  <si>
    <r>
      <t>nm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/V</t>
    </r>
    <r>
      <rPr>
        <vertAlign val="super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</si>
</sst>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29"/>
  <sheetViews>
    <sheetView tabSelected="1" topLeftCell="D1" workbookViewId="0">
      <selection activeCell="J26" sqref="J26"/>
    </sheetView>
  </sheetViews>
  <sheetFormatPr defaultRowHeight="15" x14ac:dyDescent="0.25"/>
  <cols>
    <col min="7" max="7" width="12" bestFit="1" customWidth="1"/>
    <col min="10" max="10" width="12" bestFit="1" customWidth="1"/>
  </cols>
  <sheetData>
    <row r="4" spans="2:7" x14ac:dyDescent="0.25">
      <c r="B4" t="s">
        <v>2</v>
      </c>
      <c r="C4" t="s">
        <v>1</v>
      </c>
      <c r="D4" t="s">
        <v>0</v>
      </c>
    </row>
    <row r="5" spans="2:7" x14ac:dyDescent="0.25">
      <c r="B5">
        <v>915</v>
      </c>
      <c r="C5">
        <v>897</v>
      </c>
      <c r="D5">
        <v>903</v>
      </c>
      <c r="E5">
        <f>D5-915</f>
        <v>-12</v>
      </c>
      <c r="F5">
        <f>D6-D5</f>
        <v>2</v>
      </c>
      <c r="G5">
        <f>F5*130</f>
        <v>260</v>
      </c>
    </row>
    <row r="6" spans="2:7" x14ac:dyDescent="0.25">
      <c r="C6">
        <v>901</v>
      </c>
      <c r="D6">
        <v>905</v>
      </c>
      <c r="E6">
        <f t="shared" ref="E6:E19" si="0">D6-915</f>
        <v>-10</v>
      </c>
      <c r="F6">
        <f t="shared" ref="F6:F18" si="1">D7-D6</f>
        <v>5</v>
      </c>
      <c r="G6">
        <f t="shared" ref="G6:G19" si="2">F6*130</f>
        <v>650</v>
      </c>
    </row>
    <row r="7" spans="2:7" x14ac:dyDescent="0.25">
      <c r="C7">
        <v>907</v>
      </c>
      <c r="D7">
        <v>910</v>
      </c>
      <c r="E7">
        <f t="shared" si="0"/>
        <v>-5</v>
      </c>
      <c r="F7">
        <f t="shared" si="1"/>
        <v>3</v>
      </c>
      <c r="G7">
        <f t="shared" si="2"/>
        <v>390</v>
      </c>
    </row>
    <row r="8" spans="2:7" x14ac:dyDescent="0.25">
      <c r="C8">
        <v>910</v>
      </c>
      <c r="D8">
        <v>913</v>
      </c>
      <c r="E8">
        <f t="shared" si="0"/>
        <v>-2</v>
      </c>
      <c r="F8">
        <f t="shared" si="1"/>
        <v>2</v>
      </c>
      <c r="G8">
        <f t="shared" si="2"/>
        <v>260</v>
      </c>
    </row>
    <row r="9" spans="2:7" x14ac:dyDescent="0.25">
      <c r="C9">
        <v>913</v>
      </c>
      <c r="D9">
        <v>915</v>
      </c>
      <c r="E9">
        <f t="shared" si="0"/>
        <v>0</v>
      </c>
      <c r="F9">
        <f t="shared" si="1"/>
        <v>2</v>
      </c>
      <c r="G9">
        <f t="shared" si="2"/>
        <v>260</v>
      </c>
    </row>
    <row r="10" spans="2:7" x14ac:dyDescent="0.25">
      <c r="C10">
        <v>918</v>
      </c>
      <c r="D10">
        <v>917</v>
      </c>
      <c r="E10">
        <f t="shared" si="0"/>
        <v>2</v>
      </c>
      <c r="F10">
        <f t="shared" si="1"/>
        <v>4</v>
      </c>
      <c r="G10">
        <f t="shared" si="2"/>
        <v>520</v>
      </c>
    </row>
    <row r="11" spans="2:7" x14ac:dyDescent="0.25">
      <c r="C11">
        <v>923</v>
      </c>
      <c r="D11">
        <v>921</v>
      </c>
      <c r="E11">
        <f t="shared" si="0"/>
        <v>6</v>
      </c>
      <c r="F11">
        <f t="shared" si="1"/>
        <v>4</v>
      </c>
      <c r="G11">
        <f t="shared" si="2"/>
        <v>520</v>
      </c>
    </row>
    <row r="12" spans="2:7" x14ac:dyDescent="0.25">
      <c r="C12">
        <v>927</v>
      </c>
      <c r="D12">
        <v>925</v>
      </c>
      <c r="E12">
        <f t="shared" si="0"/>
        <v>10</v>
      </c>
      <c r="F12">
        <f t="shared" si="1"/>
        <v>4</v>
      </c>
      <c r="G12">
        <f t="shared" si="2"/>
        <v>520</v>
      </c>
    </row>
    <row r="13" spans="2:7" x14ac:dyDescent="0.25">
      <c r="C13">
        <v>925</v>
      </c>
      <c r="D13">
        <v>929</v>
      </c>
      <c r="E13">
        <f t="shared" si="0"/>
        <v>14</v>
      </c>
      <c r="F13">
        <f t="shared" si="1"/>
        <v>-2</v>
      </c>
      <c r="G13">
        <f t="shared" si="2"/>
        <v>-260</v>
      </c>
    </row>
    <row r="14" spans="2:7" x14ac:dyDescent="0.25">
      <c r="C14">
        <v>922</v>
      </c>
      <c r="D14">
        <v>927</v>
      </c>
      <c r="E14">
        <f t="shared" si="0"/>
        <v>12</v>
      </c>
      <c r="F14">
        <f t="shared" si="1"/>
        <v>-3</v>
      </c>
      <c r="G14">
        <f t="shared" si="2"/>
        <v>-390</v>
      </c>
    </row>
    <row r="15" spans="2:7" x14ac:dyDescent="0.25">
      <c r="C15">
        <v>918</v>
      </c>
      <c r="D15">
        <v>924</v>
      </c>
      <c r="E15">
        <f t="shared" si="0"/>
        <v>9</v>
      </c>
      <c r="F15">
        <f t="shared" si="1"/>
        <v>-4</v>
      </c>
      <c r="G15">
        <f t="shared" si="2"/>
        <v>-520</v>
      </c>
    </row>
    <row r="16" spans="2:7" x14ac:dyDescent="0.25">
      <c r="C16">
        <v>914</v>
      </c>
      <c r="D16">
        <v>920</v>
      </c>
      <c r="E16">
        <f t="shared" si="0"/>
        <v>5</v>
      </c>
      <c r="F16">
        <f t="shared" si="1"/>
        <v>-4</v>
      </c>
      <c r="G16">
        <f t="shared" si="2"/>
        <v>-520</v>
      </c>
    </row>
    <row r="17" spans="4:11" x14ac:dyDescent="0.25">
      <c r="D17">
        <v>916</v>
      </c>
      <c r="E17">
        <f t="shared" si="0"/>
        <v>1</v>
      </c>
      <c r="F17">
        <f t="shared" si="1"/>
        <v>-7</v>
      </c>
      <c r="G17">
        <f t="shared" si="2"/>
        <v>-910</v>
      </c>
    </row>
    <row r="18" spans="4:11" x14ac:dyDescent="0.25">
      <c r="D18">
        <v>909</v>
      </c>
      <c r="E18">
        <f t="shared" si="0"/>
        <v>-6</v>
      </c>
      <c r="F18">
        <f t="shared" si="1"/>
        <v>-3</v>
      </c>
      <c r="G18">
        <f t="shared" si="2"/>
        <v>-390</v>
      </c>
    </row>
    <row r="19" spans="4:11" x14ac:dyDescent="0.25">
      <c r="D19">
        <v>906</v>
      </c>
      <c r="E19">
        <f t="shared" si="0"/>
        <v>-9</v>
      </c>
      <c r="G19">
        <f t="shared" si="2"/>
        <v>0</v>
      </c>
    </row>
    <row r="23" spans="4:11" x14ac:dyDescent="0.25">
      <c r="I23" t="s">
        <v>3</v>
      </c>
    </row>
    <row r="24" spans="4:11" x14ac:dyDescent="0.25">
      <c r="I24" t="s">
        <v>4</v>
      </c>
      <c r="J24" t="s">
        <v>5</v>
      </c>
    </row>
    <row r="25" spans="4:11" x14ac:dyDescent="0.25">
      <c r="I25" t="s">
        <v>6</v>
      </c>
      <c r="J25">
        <f>(4*130)/0.001174</f>
        <v>442930.15332197619</v>
      </c>
      <c r="K25" t="s">
        <v>7</v>
      </c>
    </row>
    <row r="26" spans="4:11" ht="17.25" x14ac:dyDescent="0.25">
      <c r="I26" t="s">
        <v>8</v>
      </c>
      <c r="J26">
        <f>J25*J25</f>
        <v>196187120721.82935</v>
      </c>
      <c r="K26" t="s">
        <v>9</v>
      </c>
    </row>
    <row r="28" spans="4:11" x14ac:dyDescent="0.25">
      <c r="E28">
        <f>26*130</f>
        <v>3380</v>
      </c>
      <c r="F28">
        <f>3300/0.00335</f>
        <v>985074.6268656716</v>
      </c>
      <c r="G28">
        <f>F28*F28</f>
        <v>970372020494.54211</v>
      </c>
    </row>
    <row r="29" spans="4:11" x14ac:dyDescent="0.25">
      <c r="F29">
        <f>3300/0.0001807</f>
        <v>18262313.226342004</v>
      </c>
      <c r="G29">
        <f>F29*F29</f>
        <v>333512084377026.06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N P</dc:creator>
  <cp:lastModifiedBy>Optical Tweezer</cp:lastModifiedBy>
  <dcterms:created xsi:type="dcterms:W3CDTF">2026-02-12T08:01:23Z</dcterms:created>
  <dcterms:modified xsi:type="dcterms:W3CDTF">2026-02-14T07:50:21Z</dcterms:modified>
</cp:coreProperties>
</file>