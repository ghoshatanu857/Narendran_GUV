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tanu\Narendran_GUV\Narendran_GUV\"/>
    </mc:Choice>
  </mc:AlternateContent>
  <bookViews>
    <workbookView xWindow="0" yWindow="0" windowWidth="14385" windowHeight="9960" firstSheet="3" activeTab="3"/>
  </bookViews>
  <sheets>
    <sheet name="OT data list" sheetId="1" r:id="rId1"/>
    <sheet name="Control" sheetId="7" r:id="rId2"/>
    <sheet name="Monomer 10 μM" sheetId="2" r:id="rId3"/>
    <sheet name="Monomer 30 μM" sheetId="3" r:id="rId4"/>
    <sheet name="Fibrils 10 μM" sheetId="4" r:id="rId5"/>
    <sheet name="Fibrils 30 μM" sheetId="6" r:id="rId6"/>
    <sheet name="rough" sheetId="8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7" l="1"/>
  <c r="M14" i="2"/>
  <c r="H4" i="7"/>
  <c r="H3" i="7"/>
  <c r="O8" i="7"/>
  <c r="O7" i="7"/>
  <c r="O6" i="7"/>
  <c r="H6" i="7"/>
  <c r="G6" i="7"/>
  <c r="F6" i="7"/>
  <c r="F3" i="7"/>
  <c r="G3" i="7"/>
  <c r="F6" i="3"/>
  <c r="G6" i="3" s="1"/>
  <c r="H6" i="3" s="1"/>
  <c r="F3" i="8"/>
  <c r="G2" i="8"/>
  <c r="H4" i="6"/>
  <c r="I4" i="6" s="1"/>
  <c r="F2" i="8"/>
  <c r="G6" i="6"/>
  <c r="H6" i="6" s="1"/>
  <c r="I6" i="6" s="1"/>
  <c r="G7" i="6"/>
  <c r="H7" i="6" s="1"/>
  <c r="I7" i="6" s="1"/>
  <c r="G4" i="6"/>
  <c r="G5" i="8"/>
  <c r="F5" i="8"/>
  <c r="E5" i="8"/>
  <c r="F4" i="4"/>
  <c r="G4" i="4" s="1"/>
  <c r="H4" i="4" s="1"/>
  <c r="F5" i="4"/>
  <c r="G5" i="4" s="1"/>
  <c r="H5" i="4" s="1"/>
  <c r="F3" i="4"/>
  <c r="G3" i="4" s="1"/>
  <c r="H3" i="4" s="1"/>
  <c r="F9" i="3"/>
  <c r="G9" i="3" s="1"/>
  <c r="H9" i="3" s="1"/>
  <c r="F10" i="3"/>
  <c r="G10" i="3" s="1"/>
  <c r="H10" i="3" s="1"/>
  <c r="F11" i="3"/>
  <c r="G11" i="3" s="1"/>
  <c r="H11" i="3" s="1"/>
  <c r="F14" i="3"/>
  <c r="G14" i="3" s="1"/>
  <c r="H14" i="3" s="1"/>
  <c r="F15" i="3"/>
  <c r="G15" i="3" s="1"/>
  <c r="H15" i="3" s="1"/>
  <c r="F16" i="3"/>
  <c r="G16" i="3" s="1"/>
  <c r="H16" i="3" s="1"/>
  <c r="F17" i="3"/>
  <c r="F18" i="3"/>
  <c r="F19" i="3"/>
  <c r="F20" i="3"/>
  <c r="F23" i="3"/>
  <c r="G23" i="3" s="1"/>
  <c r="H23" i="3" s="1"/>
  <c r="F24" i="3"/>
  <c r="G24" i="3" s="1"/>
  <c r="H24" i="3" s="1"/>
  <c r="F25" i="3"/>
  <c r="G25" i="3" s="1"/>
  <c r="H25" i="3" s="1"/>
  <c r="F26" i="3"/>
  <c r="G26" i="3" s="1"/>
  <c r="H26" i="3" s="1"/>
  <c r="G4" i="3"/>
  <c r="H4" i="3" s="1"/>
  <c r="G5" i="3"/>
  <c r="H5" i="3" s="1"/>
  <c r="G17" i="3"/>
  <c r="H17" i="3" s="1"/>
  <c r="G18" i="3"/>
  <c r="H18" i="3" s="1"/>
  <c r="N13" i="3" s="1"/>
  <c r="G19" i="3"/>
  <c r="H19" i="3" s="1"/>
  <c r="G20" i="3"/>
  <c r="H20" i="3" s="1"/>
  <c r="G3" i="2"/>
  <c r="H3" i="2" s="1"/>
  <c r="F5" i="3"/>
  <c r="F4" i="3"/>
  <c r="F3" i="3"/>
  <c r="G3" i="3" s="1"/>
  <c r="H3" i="3" s="1"/>
  <c r="H10" i="2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20" i="2"/>
  <c r="H20" i="2" s="1"/>
  <c r="G11" i="2"/>
  <c r="H11" i="2" s="1"/>
  <c r="G12" i="2"/>
  <c r="H12" i="2" s="1"/>
  <c r="G18" i="2"/>
  <c r="H18" i="2" s="1"/>
  <c r="G19" i="2"/>
  <c r="H19" i="2" s="1"/>
  <c r="G10" i="2"/>
  <c r="F24" i="2"/>
  <c r="F25" i="2"/>
  <c r="F26" i="2"/>
  <c r="F27" i="2"/>
  <c r="F28" i="2"/>
  <c r="F29" i="2"/>
  <c r="F30" i="2"/>
  <c r="F31" i="2"/>
  <c r="F23" i="2"/>
  <c r="G23" i="2" s="1"/>
  <c r="H23" i="2" s="1"/>
  <c r="F11" i="2"/>
  <c r="F12" i="2"/>
  <c r="F13" i="2"/>
  <c r="G13" i="2" s="1"/>
  <c r="H13" i="2" s="1"/>
  <c r="F14" i="2"/>
  <c r="G14" i="2" s="1"/>
  <c r="H14" i="2" s="1"/>
  <c r="F15" i="2"/>
  <c r="G15" i="2" s="1"/>
  <c r="H15" i="2" s="1"/>
  <c r="F16" i="2"/>
  <c r="G16" i="2" s="1"/>
  <c r="H16" i="2" s="1"/>
  <c r="F17" i="2"/>
  <c r="G17" i="2" s="1"/>
  <c r="H17" i="2" s="1"/>
  <c r="F18" i="2"/>
  <c r="F19" i="2"/>
  <c r="F20" i="2"/>
  <c r="F10" i="2"/>
  <c r="F3" i="2"/>
  <c r="F4" i="7"/>
  <c r="G4" i="7" s="1"/>
  <c r="F5" i="7"/>
  <c r="G5" i="7" s="1"/>
  <c r="H5" i="7" s="1"/>
  <c r="F8" i="7"/>
  <c r="G8" i="7" s="1"/>
  <c r="H8" i="7" s="1"/>
  <c r="F9" i="7"/>
  <c r="G9" i="7" s="1"/>
  <c r="H9" i="7" s="1"/>
  <c r="F18" i="7"/>
  <c r="G18" i="7" s="1"/>
  <c r="H18" i="7" s="1"/>
  <c r="F19" i="7"/>
  <c r="G19" i="7" s="1"/>
  <c r="H19" i="7" s="1"/>
  <c r="F26" i="7"/>
  <c r="G26" i="7" s="1"/>
  <c r="H26" i="7" s="1"/>
  <c r="F27" i="7"/>
  <c r="G27" i="7" s="1"/>
  <c r="H27" i="7" s="1"/>
  <c r="H19" i="8"/>
  <c r="H18" i="8"/>
  <c r="Q12" i="8"/>
  <c r="Q11" i="8"/>
  <c r="J3" i="8"/>
  <c r="J5" i="8"/>
  <c r="J6" i="8"/>
  <c r="J4" i="8"/>
  <c r="E3" i="8" l="1"/>
  <c r="E4" i="8"/>
  <c r="F4" i="8" s="1"/>
  <c r="G4" i="8" s="1"/>
  <c r="E6" i="8"/>
  <c r="F6" i="8" s="1"/>
  <c r="G6" i="8" s="1"/>
  <c r="E2" i="8"/>
  <c r="G3" i="8" l="1"/>
  <c r="A24" i="2"/>
  <c r="A25" i="2" s="1"/>
  <c r="A26" i="2" s="1"/>
  <c r="A27" i="2" s="1"/>
  <c r="A28" i="2" s="1"/>
  <c r="A29" i="2" s="1"/>
  <c r="A30" i="2" s="1"/>
  <c r="A31" i="2" s="1"/>
  <c r="A12" i="2" l="1"/>
  <c r="A13" i="2" s="1"/>
  <c r="A14" i="2" s="1"/>
  <c r="A15" i="2" s="1"/>
  <c r="A16" i="2" s="1"/>
  <c r="A17" i="2" s="1"/>
  <c r="A18" i="2" s="1"/>
  <c r="A19" i="2" s="1"/>
  <c r="A20" i="2" s="1"/>
  <c r="D12" i="1" l="1"/>
  <c r="E12" i="1"/>
  <c r="F12" i="1"/>
  <c r="B12" i="1"/>
  <c r="C12" i="1"/>
</calcChain>
</file>

<file path=xl/sharedStrings.xml><?xml version="1.0" encoding="utf-8"?>
<sst xmlns="http://schemas.openxmlformats.org/spreadsheetml/2006/main" count="191" uniqueCount="90">
  <si>
    <t>Data</t>
  </si>
  <si>
    <t>M-10</t>
  </si>
  <si>
    <t>M-30</t>
  </si>
  <si>
    <t>F-10</t>
  </si>
  <si>
    <t>F-30</t>
  </si>
  <si>
    <t>C</t>
  </si>
  <si>
    <t>_</t>
  </si>
  <si>
    <t>other</t>
  </si>
  <si>
    <t>10 days</t>
  </si>
  <si>
    <t>f51</t>
  </si>
  <si>
    <t>A</t>
  </si>
  <si>
    <t>β2</t>
  </si>
  <si>
    <t>A'</t>
  </si>
  <si>
    <t xml:space="preserve"> ĸ (in joules)</t>
  </si>
  <si>
    <t>15 μM fibril (36)</t>
  </si>
  <si>
    <t>2.5 μM mono (14)</t>
  </si>
  <si>
    <t>(0/14)</t>
  </si>
  <si>
    <t>f4</t>
  </si>
  <si>
    <t>f4_1</t>
  </si>
  <si>
    <t>f5</t>
  </si>
  <si>
    <t>f6</t>
  </si>
  <si>
    <t>f7</t>
  </si>
  <si>
    <t>f8</t>
  </si>
  <si>
    <t>f9</t>
  </si>
  <si>
    <t>(0/13)</t>
  </si>
  <si>
    <t>f11</t>
  </si>
  <si>
    <t>f11_1</t>
  </si>
  <si>
    <t>f12</t>
  </si>
  <si>
    <t>f12_1</t>
  </si>
  <si>
    <t>(11/16)</t>
  </si>
  <si>
    <t>f1</t>
  </si>
  <si>
    <t>f1_2</t>
  </si>
  <si>
    <t>f2</t>
  </si>
  <si>
    <t>f3</t>
  </si>
  <si>
    <t>f4_2</t>
  </si>
  <si>
    <t>f6_a</t>
  </si>
  <si>
    <t>(9/11)</t>
  </si>
  <si>
    <t>f9 bridge 1</t>
  </si>
  <si>
    <t>f9 1</t>
  </si>
  <si>
    <t>f9 bridge good 1</t>
  </si>
  <si>
    <t>f17</t>
  </si>
  <si>
    <t>Date</t>
  </si>
  <si>
    <t xml:space="preserve">Data </t>
  </si>
  <si>
    <t>(1/17)</t>
  </si>
  <si>
    <t>(1/16)</t>
  </si>
  <si>
    <t>(2/16)</t>
  </si>
  <si>
    <t>(4/8)</t>
  </si>
  <si>
    <t xml:space="preserve">f1 </t>
  </si>
  <si>
    <t>f1_1</t>
  </si>
  <si>
    <t xml:space="preserve">f3  </t>
  </si>
  <si>
    <t xml:space="preserve">f7 </t>
  </si>
  <si>
    <t>f7_1</t>
  </si>
  <si>
    <t>f7_2</t>
  </si>
  <si>
    <t>(7/15)</t>
  </si>
  <si>
    <t>f4a</t>
  </si>
  <si>
    <t>f4c1</t>
  </si>
  <si>
    <t>f5 right control</t>
  </si>
  <si>
    <t>f6 good</t>
  </si>
  <si>
    <t>f7 good</t>
  </si>
  <si>
    <t>(6/20)</t>
  </si>
  <si>
    <t>(3/10)</t>
  </si>
  <si>
    <t>(14/55)</t>
  </si>
  <si>
    <t>(21/71)</t>
  </si>
  <si>
    <t>Useful Data</t>
  </si>
  <si>
    <t>f5 right</t>
  </si>
  <si>
    <t>(0/10)</t>
  </si>
  <si>
    <t>(2/20)</t>
  </si>
  <si>
    <t>(0/7)</t>
  </si>
  <si>
    <t>f3a</t>
  </si>
  <si>
    <t>(2/22)</t>
  </si>
  <si>
    <t>(0/3)</t>
  </si>
  <si>
    <t>c2</t>
  </si>
  <si>
    <t>c2_1</t>
  </si>
  <si>
    <t>(2/4)</t>
  </si>
  <si>
    <t>(0/8)</t>
  </si>
  <si>
    <t>control</t>
  </si>
  <si>
    <t>10M</t>
  </si>
  <si>
    <t>30M</t>
  </si>
  <si>
    <t>10F</t>
  </si>
  <si>
    <t>30F</t>
  </si>
  <si>
    <t>ĸ</t>
  </si>
  <si>
    <t>in KbT</t>
  </si>
  <si>
    <t>N</t>
  </si>
  <si>
    <t>Calibration value</t>
  </si>
  <si>
    <t>old data</t>
  </si>
  <si>
    <t xml:space="preserve">  </t>
  </si>
  <si>
    <t>error</t>
  </si>
  <si>
    <t>Error</t>
  </si>
  <si>
    <t>f5b left</t>
  </si>
  <si>
    <t>f6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</si>
</sst>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right"/>
    </xf>
    <xf numFmtId="11" fontId="0" fillId="0" borderId="0" xfId="0" applyNumberFormat="1"/>
    <xf numFmtId="0" fontId="5" fillId="0" borderId="0" xfId="0" applyFont="1"/>
    <xf numFmtId="0" fontId="6" fillId="0" borderId="0" xfId="0" applyFont="1"/>
    <xf numFmtId="15" fontId="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center"/>
    </xf>
    <xf numFmtId="11" fontId="0" fillId="0" borderId="0" xfId="0" quotePrefix="1" applyNumberFormat="1" applyAlignment="1">
      <alignment horizontal="center"/>
    </xf>
    <xf numFmtId="0" fontId="0" fillId="0" borderId="0" xfId="0" applyAlignment="1">
      <alignment horizontal="left"/>
    </xf>
    <xf numFmtId="15" fontId="7" fillId="0" borderId="0" xfId="0" applyNumberFormat="1" applyFont="1" applyAlignment="1">
      <alignment horizontal="right"/>
    </xf>
    <xf numFmtId="0" fontId="2" fillId="0" borderId="0" xfId="0" applyFont="1"/>
    <xf numFmtId="11" fontId="2" fillId="0" borderId="0" xfId="0" applyNumberFormat="1" applyFont="1"/>
    <xf numFmtId="0" fontId="7" fillId="0" borderId="0" xfId="0" applyFont="1"/>
    <xf numFmtId="11" fontId="0" fillId="0" borderId="0" xfId="0" applyNumberFormat="1" applyAlignment="1">
      <alignment horizontal="right"/>
    </xf>
    <xf numFmtId="2" fontId="0" fillId="0" borderId="0" xfId="0" applyNumberFormat="1"/>
    <xf numFmtId="11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11" fontId="3" fillId="0" borderId="0" xfId="0" quotePrefix="1" applyNumberFormat="1" applyFont="1" applyAlignment="1">
      <alignment horizontal="center"/>
    </xf>
    <xf numFmtId="11" fontId="3" fillId="0" borderId="0" xfId="0" applyNumberFormat="1" applyFont="1" applyAlignment="1">
      <alignment horizontal="right"/>
    </xf>
    <xf numFmtId="11" fontId="8" fillId="0" borderId="0" xfId="0" applyNumberFormat="1" applyFont="1"/>
    <xf numFmtId="11" fontId="0" fillId="0" borderId="0" xfId="0" applyNumberFormat="1" applyFont="1"/>
    <xf numFmtId="2" fontId="0" fillId="0" borderId="0" xfId="0" applyNumberFormat="1" applyFont="1"/>
    <xf numFmtId="0" fontId="0" fillId="0" borderId="0" xfId="0" applyFont="1"/>
    <xf numFmtId="11" fontId="4" fillId="0" borderId="0" xfId="0" applyNumberFormat="1" applyFont="1"/>
    <xf numFmtId="11" fontId="0" fillId="0" borderId="0" xfId="0" quotePrefix="1" applyNumberFormat="1" applyFont="1" applyAlignment="1">
      <alignment horizontal="center"/>
    </xf>
    <xf numFmtId="1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C8" sqref="C8"/>
    </sheetView>
  </sheetViews>
  <sheetFormatPr defaultRowHeight="15" x14ac:dyDescent="0.25"/>
  <cols>
    <col min="1" max="1" width="12.140625" bestFit="1" customWidth="1"/>
    <col min="2" max="2" width="12.140625" customWidth="1"/>
    <col min="7" max="8" width="15.7109375" bestFit="1" customWidth="1"/>
  </cols>
  <sheetData>
    <row r="1" spans="1:7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</row>
    <row r="2" spans="1:7" x14ac:dyDescent="0.25">
      <c r="A2" s="1">
        <v>45706</v>
      </c>
      <c r="B2" s="3">
        <v>10</v>
      </c>
      <c r="C2" s="3" t="s">
        <v>6</v>
      </c>
      <c r="D2" s="3" t="s">
        <v>6</v>
      </c>
      <c r="E2" s="3" t="s">
        <v>6</v>
      </c>
      <c r="F2" s="3" t="s">
        <v>6</v>
      </c>
      <c r="G2" s="3" t="s">
        <v>6</v>
      </c>
    </row>
    <row r="3" spans="1:7" x14ac:dyDescent="0.25">
      <c r="A3" s="1">
        <v>45721</v>
      </c>
      <c r="B3" s="3">
        <v>20</v>
      </c>
      <c r="C3" s="3">
        <v>17</v>
      </c>
      <c r="D3" s="3">
        <v>16</v>
      </c>
      <c r="E3" s="3" t="s">
        <v>6</v>
      </c>
      <c r="F3" s="3" t="s">
        <v>6</v>
      </c>
      <c r="G3" s="3" t="s">
        <v>6</v>
      </c>
    </row>
    <row r="4" spans="1:7" x14ac:dyDescent="0.25">
      <c r="A4" s="1">
        <v>45758</v>
      </c>
      <c r="B4" s="3">
        <v>13</v>
      </c>
      <c r="C4" s="3" t="s">
        <v>6</v>
      </c>
      <c r="D4" s="3" t="s">
        <v>6</v>
      </c>
      <c r="E4" s="3" t="s">
        <v>6</v>
      </c>
      <c r="F4" s="3" t="s">
        <v>6</v>
      </c>
      <c r="G4" s="3" t="s">
        <v>6</v>
      </c>
    </row>
    <row r="5" spans="1:7" x14ac:dyDescent="0.25">
      <c r="A5" s="1">
        <v>45759</v>
      </c>
      <c r="B5" s="3" t="s">
        <v>6</v>
      </c>
      <c r="C5" s="3" t="s">
        <v>6</v>
      </c>
      <c r="D5" s="3" t="s">
        <v>6</v>
      </c>
      <c r="E5" s="3" t="s">
        <v>6</v>
      </c>
      <c r="F5" s="3" t="s">
        <v>6</v>
      </c>
      <c r="G5" s="11" t="s">
        <v>15</v>
      </c>
    </row>
    <row r="6" spans="1:7" x14ac:dyDescent="0.25">
      <c r="A6" s="1">
        <v>45771</v>
      </c>
      <c r="B6" s="10">
        <v>7</v>
      </c>
      <c r="C6" s="10" t="s">
        <v>6</v>
      </c>
      <c r="D6" s="10" t="s">
        <v>6</v>
      </c>
      <c r="E6" s="10" t="s">
        <v>6</v>
      </c>
      <c r="F6" s="10" t="s">
        <v>6</v>
      </c>
      <c r="G6" t="s">
        <v>14</v>
      </c>
    </row>
    <row r="7" spans="1:7" x14ac:dyDescent="0.25">
      <c r="A7" s="1">
        <v>45775</v>
      </c>
      <c r="B7" s="3" t="s">
        <v>6</v>
      </c>
      <c r="C7" s="3" t="s">
        <v>6</v>
      </c>
      <c r="D7" s="3" t="s">
        <v>6</v>
      </c>
      <c r="E7" s="3" t="s">
        <v>6</v>
      </c>
      <c r="F7" s="10">
        <v>20</v>
      </c>
      <c r="G7" s="3" t="s">
        <v>6</v>
      </c>
    </row>
    <row r="8" spans="1:7" x14ac:dyDescent="0.25">
      <c r="A8" s="1">
        <v>45790</v>
      </c>
      <c r="B8" s="3">
        <v>22</v>
      </c>
      <c r="C8">
        <v>14</v>
      </c>
      <c r="D8" s="10">
        <v>16</v>
      </c>
      <c r="E8" s="3" t="s">
        <v>6</v>
      </c>
      <c r="F8" s="3" t="s">
        <v>6</v>
      </c>
      <c r="G8" s="3" t="s">
        <v>6</v>
      </c>
    </row>
    <row r="9" spans="1:7" x14ac:dyDescent="0.25">
      <c r="A9" s="1">
        <v>45820</v>
      </c>
      <c r="B9" s="3">
        <v>8</v>
      </c>
      <c r="C9">
        <v>13</v>
      </c>
      <c r="D9" s="3" t="s">
        <v>6</v>
      </c>
      <c r="E9" s="3" t="s">
        <v>6</v>
      </c>
      <c r="F9" s="3" t="s">
        <v>6</v>
      </c>
      <c r="G9" s="3" t="s">
        <v>6</v>
      </c>
    </row>
    <row r="10" spans="1:7" x14ac:dyDescent="0.25">
      <c r="A10" s="1">
        <v>45840</v>
      </c>
      <c r="B10" s="3">
        <v>3</v>
      </c>
      <c r="C10">
        <v>16</v>
      </c>
      <c r="D10" s="3">
        <v>15</v>
      </c>
      <c r="E10">
        <v>10</v>
      </c>
      <c r="G10" s="3" t="s">
        <v>6</v>
      </c>
    </row>
    <row r="11" spans="1:7" x14ac:dyDescent="0.25">
      <c r="A11" s="1">
        <v>45855</v>
      </c>
      <c r="B11" s="3">
        <v>4</v>
      </c>
      <c r="C11">
        <v>11</v>
      </c>
      <c r="D11" s="10">
        <v>8</v>
      </c>
      <c r="E11" s="3" t="s">
        <v>6</v>
      </c>
      <c r="F11" s="3" t="s">
        <v>6</v>
      </c>
      <c r="G11" s="3" t="s">
        <v>6</v>
      </c>
    </row>
    <row r="12" spans="1:7" x14ac:dyDescent="0.25">
      <c r="A12" s="5" t="s">
        <v>8</v>
      </c>
      <c r="B12" s="4">
        <f>SUM(B2:B11)</f>
        <v>87</v>
      </c>
      <c r="C12" s="4">
        <f>SUM(C2:C11)</f>
        <v>71</v>
      </c>
      <c r="D12" s="4">
        <f t="shared" ref="D12:F12" si="0">SUM(D2:D11)</f>
        <v>55</v>
      </c>
      <c r="E12" s="4">
        <f t="shared" si="0"/>
        <v>10</v>
      </c>
      <c r="F12" s="4">
        <f t="shared" si="0"/>
        <v>20</v>
      </c>
    </row>
    <row r="13" spans="1:7" x14ac:dyDescent="0.25">
      <c r="A13" s="18" t="s">
        <v>63</v>
      </c>
      <c r="C13" s="2" t="s">
        <v>62</v>
      </c>
      <c r="D13" s="2" t="s">
        <v>61</v>
      </c>
      <c r="E13" s="2" t="s">
        <v>60</v>
      </c>
      <c r="F13" s="2" t="s">
        <v>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9.85546875" bestFit="1" customWidth="1"/>
    <col min="7" max="7" width="11.28515625" bestFit="1" customWidth="1"/>
    <col min="15" max="15" width="12" bestFit="1" customWidth="1"/>
  </cols>
  <sheetData>
    <row r="1" spans="1:15" x14ac:dyDescent="0.25">
      <c r="A1" s="2" t="s">
        <v>41</v>
      </c>
      <c r="B1" s="2" t="s">
        <v>42</v>
      </c>
      <c r="C1" s="2" t="s">
        <v>10</v>
      </c>
      <c r="D1" s="2" t="s">
        <v>86</v>
      </c>
      <c r="E1" s="8" t="s">
        <v>11</v>
      </c>
      <c r="F1" s="7" t="s">
        <v>12</v>
      </c>
      <c r="G1" s="8" t="s">
        <v>13</v>
      </c>
      <c r="H1" s="8" t="s">
        <v>81</v>
      </c>
    </row>
    <row r="2" spans="1:15" x14ac:dyDescent="0.25">
      <c r="A2" s="15">
        <v>45706</v>
      </c>
      <c r="B2" s="2" t="s">
        <v>65</v>
      </c>
      <c r="C2">
        <v>1</v>
      </c>
    </row>
    <row r="3" spans="1:15" x14ac:dyDescent="0.25">
      <c r="A3" s="15"/>
      <c r="B3" t="s">
        <v>30</v>
      </c>
      <c r="C3" s="27">
        <v>8.5302000000000005E-8</v>
      </c>
      <c r="D3" s="27">
        <v>3.9500000000000003E-8</v>
      </c>
      <c r="E3" s="27">
        <v>99320477502.29567</v>
      </c>
      <c r="F3" s="27">
        <f>C3*E3</f>
        <v>8472.2353719008261</v>
      </c>
      <c r="G3" s="27">
        <f>(4.57*(10)^-8)/((F3)^3)</f>
        <v>7.5148819399270521E-20</v>
      </c>
      <c r="H3" s="28">
        <f>G3/(4.11*10^-21)</f>
        <v>18.284384282060955</v>
      </c>
    </row>
    <row r="4" spans="1:15" x14ac:dyDescent="0.25">
      <c r="A4" s="15"/>
      <c r="B4" t="s">
        <v>32</v>
      </c>
      <c r="C4" s="21">
        <v>3.2888000000000003E-8</v>
      </c>
      <c r="D4" s="21">
        <v>3.5600000000000001E-8</v>
      </c>
      <c r="E4" s="21">
        <v>99320477502.29567</v>
      </c>
      <c r="F4" s="21">
        <f t="shared" ref="F4:F27" si="0">C4*E4</f>
        <v>3266.4518640955002</v>
      </c>
      <c r="G4" s="21">
        <f t="shared" ref="G4:G27" si="1">(4.57*(10)^-8)/((F4)^3)</f>
        <v>1.3112557699060396E-18</v>
      </c>
      <c r="H4" s="23">
        <f>G4/(4.11*10^-21)</f>
        <v>319.04033331047191</v>
      </c>
    </row>
    <row r="5" spans="1:15" x14ac:dyDescent="0.25">
      <c r="A5" s="15"/>
      <c r="B5" t="s">
        <v>33</v>
      </c>
      <c r="C5" s="27">
        <v>4.6345999999999997E-8</v>
      </c>
      <c r="D5" s="27">
        <v>2.36E-8</v>
      </c>
      <c r="E5" s="27">
        <v>99320477502.29567</v>
      </c>
      <c r="F5" s="27">
        <f t="shared" si="0"/>
        <v>4603.1068503213946</v>
      </c>
      <c r="G5" s="27">
        <f t="shared" si="1"/>
        <v>4.68557648691519E-19</v>
      </c>
      <c r="H5" s="28">
        <f t="shared" ref="H5:H27" si="2">G5/(4.11*10^-21)</f>
        <v>114.00429408552775</v>
      </c>
    </row>
    <row r="6" spans="1:15" x14ac:dyDescent="0.25">
      <c r="C6" s="29">
        <v>1</v>
      </c>
      <c r="D6" s="29"/>
      <c r="E6" s="27">
        <v>99320477502.29567</v>
      </c>
      <c r="F6" s="27">
        <f t="shared" si="0"/>
        <v>99320477502.29567</v>
      </c>
      <c r="G6" s="27">
        <f t="shared" si="1"/>
        <v>4.6644431420507111E-41</v>
      </c>
      <c r="H6" s="28">
        <f>G6/(4.11*10^-21)</f>
        <v>1.1349010077982267E-20</v>
      </c>
      <c r="O6">
        <f>(0.0000000456)/((99300000000)^3)</f>
        <v>4.6571164466529959E-41</v>
      </c>
    </row>
    <row r="7" spans="1:15" x14ac:dyDescent="0.25">
      <c r="A7" s="15">
        <v>45721</v>
      </c>
      <c r="B7" s="2" t="s">
        <v>66</v>
      </c>
      <c r="E7" s="6"/>
      <c r="F7" s="6"/>
      <c r="G7" s="6"/>
      <c r="H7" s="20"/>
      <c r="O7">
        <f>(100000000000)^3</f>
        <v>9.9999999999999995E+32</v>
      </c>
    </row>
    <row r="8" spans="1:15" x14ac:dyDescent="0.25">
      <c r="B8" t="s">
        <v>64</v>
      </c>
      <c r="C8" s="27">
        <v>8.3662999999999999E-8</v>
      </c>
      <c r="D8" s="27">
        <v>3.5899999999999997E-8</v>
      </c>
      <c r="E8" s="27">
        <v>99320477502.29567</v>
      </c>
      <c r="F8" s="27">
        <f t="shared" si="0"/>
        <v>8309.4491092745629</v>
      </c>
      <c r="G8" s="27">
        <f t="shared" si="1"/>
        <v>7.9652516823227975E-20</v>
      </c>
      <c r="H8" s="28">
        <f t="shared" si="2"/>
        <v>19.380174409544519</v>
      </c>
      <c r="O8">
        <f>(99300000000)^3</f>
        <v>9.7914665700000001E+32</v>
      </c>
    </row>
    <row r="9" spans="1:15" x14ac:dyDescent="0.25">
      <c r="B9" t="s">
        <v>21</v>
      </c>
      <c r="C9" s="6">
        <v>1.1225E-7</v>
      </c>
      <c r="D9" s="6"/>
      <c r="E9" s="6">
        <v>99320477502.29567</v>
      </c>
      <c r="F9" s="6">
        <f t="shared" si="0"/>
        <v>11148.723599632689</v>
      </c>
      <c r="G9" s="6">
        <f t="shared" si="1"/>
        <v>3.2979248453683433E-20</v>
      </c>
      <c r="H9" s="20">
        <f t="shared" si="2"/>
        <v>8.0241480422587426</v>
      </c>
      <c r="M9">
        <v>1</v>
      </c>
    </row>
    <row r="10" spans="1:15" x14ac:dyDescent="0.25">
      <c r="B10" t="s">
        <v>88</v>
      </c>
      <c r="C10" s="21">
        <v>4.3100000000000002E-8</v>
      </c>
      <c r="D10" s="21">
        <v>2.4699999999999999E-8</v>
      </c>
      <c r="E10" s="6"/>
      <c r="F10" s="6"/>
      <c r="G10" s="6"/>
      <c r="H10" s="20"/>
    </row>
    <row r="11" spans="1:15" x14ac:dyDescent="0.25">
      <c r="B11" t="s">
        <v>89</v>
      </c>
      <c r="C11" s="30">
        <v>3.69E-8</v>
      </c>
      <c r="D11" s="30">
        <v>1.59E-8</v>
      </c>
      <c r="E11" s="6"/>
      <c r="F11" s="6"/>
      <c r="G11" s="6"/>
      <c r="H11" s="20"/>
    </row>
    <row r="12" spans="1:15" x14ac:dyDescent="0.25">
      <c r="E12" s="6"/>
      <c r="F12" s="6"/>
      <c r="G12" s="6"/>
      <c r="H12" s="20"/>
    </row>
    <row r="13" spans="1:15" x14ac:dyDescent="0.25">
      <c r="A13" s="15">
        <v>45758</v>
      </c>
      <c r="B13" s="2" t="s">
        <v>24</v>
      </c>
      <c r="E13" s="6"/>
      <c r="F13" s="6"/>
      <c r="G13" s="6"/>
      <c r="H13" s="20"/>
    </row>
    <row r="14" spans="1:15" x14ac:dyDescent="0.25">
      <c r="E14" s="6"/>
      <c r="F14" s="6"/>
      <c r="G14" s="6"/>
      <c r="H14" s="20"/>
    </row>
    <row r="15" spans="1:15" x14ac:dyDescent="0.25">
      <c r="A15" s="15">
        <v>45771</v>
      </c>
      <c r="B15" s="2" t="s">
        <v>67</v>
      </c>
      <c r="E15" s="6"/>
      <c r="F15" s="6"/>
      <c r="G15" s="6"/>
      <c r="H15" s="20"/>
    </row>
    <row r="16" spans="1:15" x14ac:dyDescent="0.25">
      <c r="E16" s="6"/>
      <c r="F16" s="6"/>
      <c r="G16" s="6"/>
      <c r="H16" s="20"/>
      <c r="N16" s="22"/>
    </row>
    <row r="17" spans="1:16" x14ac:dyDescent="0.25">
      <c r="A17" s="15">
        <v>45790</v>
      </c>
      <c r="B17" s="2" t="s">
        <v>69</v>
      </c>
      <c r="E17" s="6"/>
      <c r="F17" s="6"/>
      <c r="G17" s="6"/>
      <c r="H17" s="20"/>
      <c r="M17" s="6">
        <f>D5/C5</f>
        <v>0.50921330859189573</v>
      </c>
    </row>
    <row r="18" spans="1:16" x14ac:dyDescent="0.25">
      <c r="B18" s="16" t="s">
        <v>33</v>
      </c>
      <c r="C18" s="6">
        <v>1.0001E-4</v>
      </c>
      <c r="D18" s="6"/>
      <c r="E18" s="6">
        <v>99320477502.29567</v>
      </c>
      <c r="F18" s="6">
        <f t="shared" si="0"/>
        <v>9933040.9550045896</v>
      </c>
      <c r="G18" s="6">
        <f t="shared" si="1"/>
        <v>4.6630440889280471E-29</v>
      </c>
      <c r="H18" s="20">
        <f t="shared" si="2"/>
        <v>1.1345606055786003E-8</v>
      </c>
    </row>
    <row r="19" spans="1:16" x14ac:dyDescent="0.25">
      <c r="B19" s="16" t="s">
        <v>68</v>
      </c>
      <c r="C19" s="6">
        <v>6.9654999999999996E-5</v>
      </c>
      <c r="D19" s="6"/>
      <c r="E19" s="6">
        <v>99320477502.29567</v>
      </c>
      <c r="F19" s="6">
        <f t="shared" si="0"/>
        <v>6918167.8604224045</v>
      </c>
      <c r="G19" s="6">
        <f t="shared" si="1"/>
        <v>1.3802028309727996E-28</v>
      </c>
      <c r="H19" s="20">
        <f t="shared" si="2"/>
        <v>3.358157739593187E-8</v>
      </c>
    </row>
    <row r="20" spans="1:16" x14ac:dyDescent="0.25">
      <c r="E20" s="6"/>
      <c r="F20" s="6"/>
      <c r="G20" s="6"/>
      <c r="H20" s="6"/>
    </row>
    <row r="21" spans="1:16" x14ac:dyDescent="0.25">
      <c r="A21" s="15">
        <v>45820</v>
      </c>
      <c r="B21" s="2" t="s">
        <v>74</v>
      </c>
      <c r="E21" s="6"/>
      <c r="F21" s="6"/>
      <c r="G21" s="6"/>
      <c r="H21" s="6"/>
      <c r="P21" s="22"/>
    </row>
    <row r="22" spans="1:16" x14ac:dyDescent="0.25">
      <c r="E22" s="6"/>
      <c r="F22" s="6"/>
      <c r="G22" s="6"/>
      <c r="H22" s="6"/>
    </row>
    <row r="23" spans="1:16" x14ac:dyDescent="0.25">
      <c r="A23" s="15">
        <v>45840</v>
      </c>
      <c r="B23" s="2" t="s">
        <v>70</v>
      </c>
      <c r="E23" s="6"/>
      <c r="F23" s="6"/>
      <c r="G23" s="6"/>
      <c r="H23" s="6"/>
    </row>
    <row r="24" spans="1:16" x14ac:dyDescent="0.25">
      <c r="E24" s="6"/>
      <c r="F24" s="6"/>
      <c r="G24" s="6"/>
      <c r="H24" s="6"/>
    </row>
    <row r="25" spans="1:16" x14ac:dyDescent="0.25">
      <c r="A25" s="15">
        <v>45855</v>
      </c>
      <c r="B25" s="2" t="s">
        <v>73</v>
      </c>
      <c r="E25" s="6"/>
      <c r="F25" s="6"/>
      <c r="G25" s="6"/>
      <c r="H25" s="6"/>
    </row>
    <row r="26" spans="1:16" x14ac:dyDescent="0.25">
      <c r="B26" t="s">
        <v>71</v>
      </c>
      <c r="C26" s="6">
        <v>1.3004E-5</v>
      </c>
      <c r="D26" s="6"/>
      <c r="E26" s="6">
        <v>99320477502.29567</v>
      </c>
      <c r="F26" s="6">
        <f t="shared" si="0"/>
        <v>1291563.4894398528</v>
      </c>
      <c r="G26" s="6">
        <f t="shared" si="1"/>
        <v>2.121137983838704E-26</v>
      </c>
      <c r="H26" s="6">
        <f t="shared" si="2"/>
        <v>5.1609196687073096E-6</v>
      </c>
      <c r="N26" s="22"/>
    </row>
    <row r="27" spans="1:16" x14ac:dyDescent="0.25">
      <c r="B27" t="s">
        <v>72</v>
      </c>
      <c r="C27" s="6">
        <v>1.3338E-5</v>
      </c>
      <c r="D27" s="6"/>
      <c r="E27" s="6">
        <v>99320477502.29567</v>
      </c>
      <c r="F27" s="6">
        <f t="shared" si="0"/>
        <v>1324736.5289256196</v>
      </c>
      <c r="G27" s="6">
        <f t="shared" si="1"/>
        <v>1.9657471935030907E-26</v>
      </c>
      <c r="H27" s="6">
        <f t="shared" si="2"/>
        <v>4.7828398868688341E-6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pane ySplit="1" topLeftCell="A5" activePane="bottomLeft" state="frozen"/>
      <selection pane="bottomLeft" activeCell="C13" sqref="C13"/>
    </sheetView>
  </sheetViews>
  <sheetFormatPr defaultRowHeight="15" x14ac:dyDescent="0.25"/>
  <cols>
    <col min="1" max="1" width="11.140625" customWidth="1"/>
    <col min="2" max="2" width="10.5703125" bestFit="1" customWidth="1"/>
    <col min="7" max="7" width="11.28515625" bestFit="1" customWidth="1"/>
  </cols>
  <sheetData>
    <row r="1" spans="1:13" x14ac:dyDescent="0.25">
      <c r="A1" s="2" t="s">
        <v>41</v>
      </c>
      <c r="B1" s="2" t="s">
        <v>42</v>
      </c>
      <c r="C1" s="2" t="s">
        <v>10</v>
      </c>
      <c r="D1" s="2" t="s">
        <v>86</v>
      </c>
      <c r="E1" s="8" t="s">
        <v>11</v>
      </c>
      <c r="F1" s="7" t="s">
        <v>12</v>
      </c>
      <c r="G1" s="8" t="s">
        <v>13</v>
      </c>
      <c r="H1" s="8" t="s">
        <v>81</v>
      </c>
    </row>
    <row r="2" spans="1:13" x14ac:dyDescent="0.25">
      <c r="A2" s="9">
        <v>45721</v>
      </c>
      <c r="B2" s="2" t="s">
        <v>43</v>
      </c>
    </row>
    <row r="3" spans="1:13" x14ac:dyDescent="0.25">
      <c r="A3" s="14">
        <v>1</v>
      </c>
      <c r="B3" t="s">
        <v>9</v>
      </c>
      <c r="C3" s="12">
        <v>1.2200999999999999E-7</v>
      </c>
      <c r="D3" s="12">
        <v>3.2600000000000001E-8</v>
      </c>
      <c r="E3" s="6">
        <v>99320477502.29567</v>
      </c>
      <c r="F3" s="6">
        <f>E3*C3</f>
        <v>12118.091460055093</v>
      </c>
      <c r="G3" s="6">
        <f>(4.57*(10)^-8)/((F3)^3)</f>
        <v>2.5681094099514982E-20</v>
      </c>
      <c r="H3" s="6">
        <f>G3/(4.11*10^-21)</f>
        <v>6.2484413867433046</v>
      </c>
    </row>
    <row r="4" spans="1:13" x14ac:dyDescent="0.25">
      <c r="A4" s="14"/>
      <c r="C4" s="10"/>
      <c r="D4" s="10"/>
      <c r="H4" s="6"/>
    </row>
    <row r="5" spans="1:13" x14ac:dyDescent="0.25">
      <c r="A5" s="15">
        <v>45790</v>
      </c>
      <c r="B5" s="2" t="s">
        <v>16</v>
      </c>
      <c r="C5" s="10"/>
      <c r="D5" s="10"/>
      <c r="H5" s="6"/>
    </row>
    <row r="6" spans="1:13" x14ac:dyDescent="0.25">
      <c r="A6" s="14"/>
      <c r="C6" s="10"/>
      <c r="D6" s="10"/>
      <c r="H6" s="6"/>
    </row>
    <row r="7" spans="1:13" x14ac:dyDescent="0.25">
      <c r="A7" s="15">
        <v>45820</v>
      </c>
      <c r="B7" s="2" t="s">
        <v>24</v>
      </c>
      <c r="C7" s="10"/>
      <c r="D7" s="10"/>
      <c r="H7" s="6"/>
    </row>
    <row r="8" spans="1:13" x14ac:dyDescent="0.25">
      <c r="A8" s="14"/>
      <c r="C8" s="10"/>
      <c r="D8" s="10"/>
      <c r="H8" s="6"/>
    </row>
    <row r="9" spans="1:13" x14ac:dyDescent="0.25">
      <c r="A9" s="15">
        <v>45840</v>
      </c>
      <c r="B9" s="2" t="s">
        <v>29</v>
      </c>
      <c r="C9" s="10"/>
      <c r="D9" s="10"/>
      <c r="H9" s="6"/>
    </row>
    <row r="10" spans="1:13" x14ac:dyDescent="0.25">
      <c r="A10" s="14">
        <v>2</v>
      </c>
      <c r="B10" t="s">
        <v>17</v>
      </c>
      <c r="C10" s="12">
        <v>1.4088E-7</v>
      </c>
      <c r="D10" s="12"/>
      <c r="E10" s="6">
        <v>99320477502.29567</v>
      </c>
      <c r="F10" s="6">
        <f>E10*C10</f>
        <v>13992.268870523414</v>
      </c>
      <c r="G10" s="6">
        <f>(4.57*(10)^-8)/((F10)^3)</f>
        <v>1.6682140503301099E-20</v>
      </c>
      <c r="H10" s="6">
        <f t="shared" ref="H10:H31" si="0">G10/(4.11*10^-21)</f>
        <v>4.0589149643068367</v>
      </c>
    </row>
    <row r="11" spans="1:13" x14ac:dyDescent="0.25">
      <c r="A11" s="14">
        <v>3</v>
      </c>
      <c r="B11" t="s">
        <v>18</v>
      </c>
      <c r="C11" s="24">
        <v>5.1230999999999997E-8</v>
      </c>
      <c r="D11" s="24">
        <v>7.9500000000000001E-19</v>
      </c>
      <c r="E11" s="21">
        <v>99320477502.29567</v>
      </c>
      <c r="F11" s="21">
        <f t="shared" ref="F11:F20" si="1">E11*C11</f>
        <v>5088.2873829201089</v>
      </c>
      <c r="G11" s="21">
        <f t="shared" ref="G11:G19" si="2">(4.57*(10)^-8)/((F11)^3)</f>
        <v>3.468976071273942E-19</v>
      </c>
      <c r="H11" s="21">
        <f t="shared" si="0"/>
        <v>84.40331073659226</v>
      </c>
    </row>
    <row r="12" spans="1:13" x14ac:dyDescent="0.25">
      <c r="A12" s="14">
        <f>A11+1</f>
        <v>4</v>
      </c>
      <c r="B12" t="s">
        <v>19</v>
      </c>
      <c r="C12" s="32">
        <v>4.0190999999999999E-8</v>
      </c>
      <c r="D12" s="32">
        <v>1.1900000000000001E-8</v>
      </c>
      <c r="E12" s="21">
        <v>99320477502.29567</v>
      </c>
      <c r="F12" s="21">
        <f t="shared" si="1"/>
        <v>3991.789311294765</v>
      </c>
      <c r="G12" s="21">
        <f t="shared" si="2"/>
        <v>7.1847782268245529E-19</v>
      </c>
      <c r="H12" s="21">
        <f t="shared" si="0"/>
        <v>174.81212230716673</v>
      </c>
      <c r="J12">
        <v>33.6</v>
      </c>
    </row>
    <row r="13" spans="1:13" x14ac:dyDescent="0.25">
      <c r="A13" s="14">
        <f t="shared" ref="A13:A20" si="3">A12+1</f>
        <v>5</v>
      </c>
      <c r="B13" t="s">
        <v>20</v>
      </c>
      <c r="C13" s="31">
        <v>1.175E-7</v>
      </c>
      <c r="D13" s="31">
        <v>6.6600000000000001E-8</v>
      </c>
      <c r="E13" s="27">
        <v>99320477502.29567</v>
      </c>
      <c r="F13" s="27">
        <f t="shared" si="1"/>
        <v>11670.156106519742</v>
      </c>
      <c r="G13" s="27">
        <f t="shared" si="2"/>
        <v>2.8753201226245191E-20</v>
      </c>
      <c r="H13" s="27">
        <f t="shared" si="0"/>
        <v>6.9959127071156182</v>
      </c>
    </row>
    <row r="14" spans="1:13" x14ac:dyDescent="0.25">
      <c r="A14" s="14">
        <f t="shared" si="3"/>
        <v>6</v>
      </c>
      <c r="B14" t="s">
        <v>21</v>
      </c>
      <c r="C14" s="24">
        <v>1.0621999999999999E-7</v>
      </c>
      <c r="D14" s="24">
        <v>8.6700000000000002E-8</v>
      </c>
      <c r="E14" s="21">
        <v>99320477502.29567</v>
      </c>
      <c r="F14" s="21">
        <f t="shared" si="1"/>
        <v>10549.821120293846</v>
      </c>
      <c r="G14" s="21">
        <f t="shared" si="2"/>
        <v>3.8920724171586851E-20</v>
      </c>
      <c r="H14" s="21">
        <f t="shared" si="0"/>
        <v>9.4697625721622511</v>
      </c>
      <c r="M14" s="6">
        <f>D13/C13</f>
        <v>0.56680851063829785</v>
      </c>
    </row>
    <row r="15" spans="1:13" x14ac:dyDescent="0.25">
      <c r="A15" s="14">
        <f t="shared" si="3"/>
        <v>7</v>
      </c>
      <c r="B15" t="s">
        <v>22</v>
      </c>
      <c r="C15" s="12">
        <v>1.6584999999999999E-7</v>
      </c>
      <c r="D15" s="12"/>
      <c r="E15" s="6">
        <v>99320477502.29567</v>
      </c>
      <c r="F15" s="6">
        <f t="shared" si="1"/>
        <v>16472.301193755735</v>
      </c>
      <c r="G15" s="6">
        <f t="shared" si="2"/>
        <v>1.0224765959475254E-20</v>
      </c>
      <c r="H15" s="6">
        <f t="shared" si="0"/>
        <v>2.4877776057117407</v>
      </c>
    </row>
    <row r="16" spans="1:13" x14ac:dyDescent="0.25">
      <c r="A16" s="14">
        <f t="shared" si="3"/>
        <v>8</v>
      </c>
      <c r="B16" t="s">
        <v>23</v>
      </c>
      <c r="C16" s="12">
        <v>2.8510999999999999E-7</v>
      </c>
      <c r="D16" s="12"/>
      <c r="E16" s="6">
        <v>99320477502.29567</v>
      </c>
      <c r="F16" s="6">
        <f t="shared" si="1"/>
        <v>28317.261340679517</v>
      </c>
      <c r="G16" s="6">
        <f t="shared" si="2"/>
        <v>2.0126231010234905E-21</v>
      </c>
      <c r="H16" s="6">
        <f t="shared" si="0"/>
        <v>0.48968931898381768</v>
      </c>
    </row>
    <row r="17" spans="1:10" x14ac:dyDescent="0.25">
      <c r="A17" s="14">
        <f t="shared" si="3"/>
        <v>9</v>
      </c>
      <c r="B17" t="s">
        <v>25</v>
      </c>
      <c r="C17" s="13">
        <v>5.1194000000000002E-8</v>
      </c>
      <c r="D17" s="13"/>
      <c r="E17" s="6">
        <v>99320477502.29567</v>
      </c>
      <c r="F17" s="6">
        <f t="shared" si="1"/>
        <v>5084.6125252525244</v>
      </c>
      <c r="G17" s="6">
        <f t="shared" si="2"/>
        <v>3.4765030218334413E-19</v>
      </c>
      <c r="H17" s="6">
        <f t="shared" si="0"/>
        <v>84.586448219791762</v>
      </c>
    </row>
    <row r="18" spans="1:10" x14ac:dyDescent="0.25">
      <c r="A18" s="14">
        <f t="shared" si="3"/>
        <v>10</v>
      </c>
      <c r="B18" t="s">
        <v>26</v>
      </c>
      <c r="C18" s="13">
        <v>1.5478000000000001E-8</v>
      </c>
      <c r="D18" s="13">
        <v>8.5400000000000007E-9</v>
      </c>
      <c r="E18" s="6">
        <v>99320477502.29567</v>
      </c>
      <c r="F18" s="6">
        <f t="shared" si="1"/>
        <v>1537.2823507805324</v>
      </c>
      <c r="G18" s="6">
        <f t="shared" si="2"/>
        <v>1.2579265299109564E-17</v>
      </c>
      <c r="H18" s="6">
        <f t="shared" si="0"/>
        <v>3060.6484912675342</v>
      </c>
      <c r="J18" s="6"/>
    </row>
    <row r="19" spans="1:10" x14ac:dyDescent="0.25">
      <c r="A19" s="14">
        <f t="shared" si="3"/>
        <v>11</v>
      </c>
      <c r="B19" t="s">
        <v>27</v>
      </c>
      <c r="C19" s="13">
        <v>3.8659000000000002E-7</v>
      </c>
      <c r="D19" s="13"/>
      <c r="E19" s="6">
        <v>99320477502.29567</v>
      </c>
      <c r="F19" s="6">
        <f t="shared" si="1"/>
        <v>38396.303397612486</v>
      </c>
      <c r="G19" s="6">
        <f t="shared" si="2"/>
        <v>8.073241722522569E-22</v>
      </c>
      <c r="H19" s="6">
        <f t="shared" si="0"/>
        <v>0.19642923899081677</v>
      </c>
      <c r="J19" s="6"/>
    </row>
    <row r="20" spans="1:10" x14ac:dyDescent="0.25">
      <c r="A20" s="14">
        <f t="shared" si="3"/>
        <v>12</v>
      </c>
      <c r="B20" t="s">
        <v>28</v>
      </c>
      <c r="C20" s="12">
        <v>6.9373999999999996E-7</v>
      </c>
      <c r="D20" s="12"/>
      <c r="E20" s="6">
        <v>99320477502.29567</v>
      </c>
      <c r="F20" s="6">
        <f t="shared" si="1"/>
        <v>68902.588062442592</v>
      </c>
      <c r="G20" s="6">
        <f>(4.57*(10)^-8)/((F20)^3)</f>
        <v>1.3970424273797651E-22</v>
      </c>
      <c r="H20" s="6">
        <f t="shared" si="0"/>
        <v>3.3991299936247325E-2</v>
      </c>
      <c r="J20" s="6"/>
    </row>
    <row r="21" spans="1:10" x14ac:dyDescent="0.25">
      <c r="G21" s="6"/>
      <c r="H21" s="6"/>
    </row>
    <row r="22" spans="1:10" x14ac:dyDescent="0.25">
      <c r="A22" s="15">
        <v>45855</v>
      </c>
      <c r="B22" s="2" t="s">
        <v>36</v>
      </c>
      <c r="G22" s="6"/>
      <c r="H22" s="6"/>
    </row>
    <row r="23" spans="1:10" x14ac:dyDescent="0.25">
      <c r="A23" s="14">
        <v>13</v>
      </c>
      <c r="B23" t="s">
        <v>30</v>
      </c>
      <c r="C23" s="6">
        <v>2.0967E-7</v>
      </c>
      <c r="D23" s="6"/>
      <c r="E23" s="6">
        <v>99320477502.29567</v>
      </c>
      <c r="F23" s="6">
        <f>E23*C23</f>
        <v>20824.524517906331</v>
      </c>
      <c r="G23" s="6">
        <f t="shared" ref="G23:G31" si="4">(4.57*(10)^-8)/((F23)^3)</f>
        <v>5.060470738648954E-21</v>
      </c>
      <c r="H23" s="6">
        <f t="shared" si="0"/>
        <v>1.2312580872625194</v>
      </c>
    </row>
    <row r="24" spans="1:10" x14ac:dyDescent="0.25">
      <c r="A24" s="14">
        <f>A23+1</f>
        <v>14</v>
      </c>
      <c r="B24" t="s">
        <v>31</v>
      </c>
      <c r="C24" s="6">
        <v>1.5612E-7</v>
      </c>
      <c r="D24" s="6"/>
      <c r="E24" s="6">
        <v>99320477502.29567</v>
      </c>
      <c r="F24" s="6">
        <f t="shared" ref="F24:F31" si="5">E24*C24</f>
        <v>15505.9129476584</v>
      </c>
      <c r="G24" s="6">
        <f t="shared" si="4"/>
        <v>1.2258128670405993E-20</v>
      </c>
      <c r="H24" s="6">
        <f t="shared" si="0"/>
        <v>2.9825130584929425</v>
      </c>
    </row>
    <row r="25" spans="1:10" x14ac:dyDescent="0.25">
      <c r="A25" s="14">
        <f t="shared" ref="A25:A31" si="6">A24+1</f>
        <v>15</v>
      </c>
      <c r="B25" t="s">
        <v>32</v>
      </c>
      <c r="C25" s="6">
        <v>2.5011999999999999E-6</v>
      </c>
      <c r="D25" s="6"/>
      <c r="E25" s="6">
        <v>99320477502.29567</v>
      </c>
      <c r="F25" s="6">
        <f t="shared" si="5"/>
        <v>248420.37832874191</v>
      </c>
      <c r="G25" s="6">
        <f t="shared" si="4"/>
        <v>2.9809489836144442E-24</v>
      </c>
      <c r="H25" s="6">
        <f t="shared" si="0"/>
        <v>7.252917235071641E-4</v>
      </c>
    </row>
    <row r="26" spans="1:10" x14ac:dyDescent="0.25">
      <c r="A26" s="14">
        <f t="shared" si="6"/>
        <v>16</v>
      </c>
      <c r="B26" t="s">
        <v>33</v>
      </c>
      <c r="C26" s="6">
        <v>1.2659E-7</v>
      </c>
      <c r="D26" s="6">
        <v>3.2000000000000002E-8</v>
      </c>
      <c r="E26" s="6">
        <v>99320477502.29567</v>
      </c>
      <c r="F26" s="6">
        <f t="shared" si="5"/>
        <v>12572.979247015608</v>
      </c>
      <c r="G26" s="6">
        <f t="shared" si="4"/>
        <v>2.2993315789666294E-20</v>
      </c>
      <c r="H26" s="6">
        <f t="shared" si="0"/>
        <v>5.5944807274127237</v>
      </c>
    </row>
    <row r="27" spans="1:10" x14ac:dyDescent="0.25">
      <c r="A27" s="14">
        <f t="shared" si="6"/>
        <v>17</v>
      </c>
      <c r="B27" t="s">
        <v>17</v>
      </c>
      <c r="C27" s="6">
        <v>1.3654E-7</v>
      </c>
      <c r="D27" s="6"/>
      <c r="E27" s="6">
        <v>99320477502.29567</v>
      </c>
      <c r="F27" s="6">
        <f t="shared" si="5"/>
        <v>13561.217998163451</v>
      </c>
      <c r="G27" s="6">
        <f t="shared" si="4"/>
        <v>1.8323992611807162E-20</v>
      </c>
      <c r="H27" s="6">
        <f t="shared" si="0"/>
        <v>4.4583923629701125</v>
      </c>
    </row>
    <row r="28" spans="1:10" x14ac:dyDescent="0.25">
      <c r="A28" s="14">
        <f t="shared" si="6"/>
        <v>18</v>
      </c>
      <c r="B28" t="s">
        <v>34</v>
      </c>
      <c r="C28" s="6">
        <v>2.438E-7</v>
      </c>
      <c r="D28" s="6"/>
      <c r="E28" s="6">
        <v>99320477502.29567</v>
      </c>
      <c r="F28" s="6">
        <f t="shared" si="5"/>
        <v>24214.332415059685</v>
      </c>
      <c r="G28" s="6">
        <f t="shared" si="4"/>
        <v>3.2188348867210936E-21</v>
      </c>
      <c r="H28" s="6">
        <f t="shared" si="0"/>
        <v>0.78317150528493762</v>
      </c>
    </row>
    <row r="29" spans="1:10" x14ac:dyDescent="0.25">
      <c r="A29" s="14">
        <f t="shared" si="6"/>
        <v>19</v>
      </c>
      <c r="B29" t="s">
        <v>19</v>
      </c>
      <c r="C29" s="6">
        <v>5.8439000000000001E-6</v>
      </c>
      <c r="D29" s="6"/>
      <c r="E29" s="6">
        <v>99320477502.29567</v>
      </c>
      <c r="F29" s="6">
        <f t="shared" si="5"/>
        <v>580418.93847566564</v>
      </c>
      <c r="G29" s="6">
        <f t="shared" si="4"/>
        <v>2.3371763140119254E-25</v>
      </c>
      <c r="H29" s="6">
        <f t="shared" si="0"/>
        <v>5.6865603747248795E-5</v>
      </c>
    </row>
    <row r="30" spans="1:10" x14ac:dyDescent="0.25">
      <c r="A30" s="14">
        <f t="shared" si="6"/>
        <v>20</v>
      </c>
      <c r="B30" t="s">
        <v>20</v>
      </c>
      <c r="C30" s="6">
        <v>1.6519E-6</v>
      </c>
      <c r="D30" s="6"/>
      <c r="E30" s="6">
        <v>99320477502.29567</v>
      </c>
      <c r="F30" s="6">
        <f t="shared" si="5"/>
        <v>164067.4967860422</v>
      </c>
      <c r="G30" s="6">
        <f t="shared" si="4"/>
        <v>1.0347812338365263E-23</v>
      </c>
      <c r="H30" s="6">
        <f t="shared" si="0"/>
        <v>2.5177158974124727E-3</v>
      </c>
    </row>
    <row r="31" spans="1:10" x14ac:dyDescent="0.25">
      <c r="A31" s="14">
        <f t="shared" si="6"/>
        <v>21</v>
      </c>
      <c r="B31" t="s">
        <v>35</v>
      </c>
      <c r="C31" s="6">
        <v>9.9907999999999997E-8</v>
      </c>
      <c r="D31" s="6"/>
      <c r="E31" s="6">
        <v>99320477502.29567</v>
      </c>
      <c r="F31" s="6">
        <f t="shared" si="5"/>
        <v>9922.9102662993555</v>
      </c>
      <c r="G31" s="6">
        <f t="shared" si="4"/>
        <v>4.6773407294024705E-20</v>
      </c>
      <c r="H31" s="6">
        <f t="shared" si="0"/>
        <v>11.380391069105768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pane ySplit="1" topLeftCell="A17" activePane="bottomLeft" state="frozen"/>
      <selection pane="bottomLeft" activeCell="I24" sqref="I24"/>
    </sheetView>
  </sheetViews>
  <sheetFormatPr defaultRowHeight="15" x14ac:dyDescent="0.25"/>
  <cols>
    <col min="1" max="1" width="9.7109375" bestFit="1" customWidth="1"/>
    <col min="2" max="2" width="14.28515625" bestFit="1" customWidth="1"/>
    <col min="3" max="3" width="12.28515625" bestFit="1" customWidth="1"/>
    <col min="4" max="4" width="12.28515625" customWidth="1"/>
    <col min="7" max="7" width="11.28515625" bestFit="1" customWidth="1"/>
  </cols>
  <sheetData>
    <row r="1" spans="1:14" x14ac:dyDescent="0.25">
      <c r="A1" s="2" t="s">
        <v>41</v>
      </c>
      <c r="B1" s="2" t="s">
        <v>42</v>
      </c>
      <c r="C1" s="2" t="s">
        <v>10</v>
      </c>
      <c r="D1" s="2"/>
      <c r="E1" s="8" t="s">
        <v>11</v>
      </c>
      <c r="F1" s="7" t="s">
        <v>12</v>
      </c>
      <c r="G1" s="8" t="s">
        <v>13</v>
      </c>
      <c r="H1" s="8" t="s">
        <v>81</v>
      </c>
    </row>
    <row r="2" spans="1:14" x14ac:dyDescent="0.25">
      <c r="A2" s="15">
        <v>45721</v>
      </c>
      <c r="B2" s="2" t="s">
        <v>44</v>
      </c>
    </row>
    <row r="3" spans="1:14" x14ac:dyDescent="0.25">
      <c r="A3" s="14">
        <v>1</v>
      </c>
      <c r="B3" t="s">
        <v>37</v>
      </c>
      <c r="C3" s="6">
        <v>1.7599999999999999E-7</v>
      </c>
      <c r="D3" s="6">
        <v>1.09E-7</v>
      </c>
      <c r="E3" s="6">
        <v>99320477502.29567</v>
      </c>
      <c r="F3" s="6">
        <f>C3*E3</f>
        <v>17480.404040404035</v>
      </c>
      <c r="G3" s="6">
        <f>(4.57*(10)^-8)/((F3)^3)</f>
        <v>8.5558231703773457E-21</v>
      </c>
      <c r="H3" s="6">
        <f>G3/(4.11*10^-21)</f>
        <v>2.0817088005784297</v>
      </c>
    </row>
    <row r="4" spans="1:14" x14ac:dyDescent="0.25">
      <c r="A4" s="14">
        <v>2</v>
      </c>
      <c r="B4" t="s">
        <v>38</v>
      </c>
      <c r="C4" s="6">
        <v>2.9299999999999999E-7</v>
      </c>
      <c r="D4" s="6">
        <v>1.74E-7</v>
      </c>
      <c r="E4" s="6">
        <v>99320477502.29567</v>
      </c>
      <c r="F4" s="6">
        <f t="shared" ref="F4:F25" si="0">C4*E4</f>
        <v>29100.899908172629</v>
      </c>
      <c r="G4" s="6">
        <f t="shared" ref="G4:G26" si="1">(4.57*(10)^-8)/((F4)^3)</f>
        <v>1.8543723476579307E-21</v>
      </c>
      <c r="H4" s="6">
        <f t="shared" ref="H4:H25" si="2">G4/(4.11*10^-21)</f>
        <v>0.45118548604815834</v>
      </c>
    </row>
    <row r="5" spans="1:14" x14ac:dyDescent="0.25">
      <c r="A5" s="14">
        <v>3</v>
      </c>
      <c r="B5" t="s">
        <v>39</v>
      </c>
      <c r="C5" s="6">
        <v>-1.4038E-6</v>
      </c>
      <c r="D5" s="6"/>
      <c r="E5" s="6">
        <v>99320477502.29567</v>
      </c>
      <c r="F5" s="6">
        <f>C5*E5</f>
        <v>-139426.08631772266</v>
      </c>
      <c r="G5" s="6">
        <f t="shared" si="1"/>
        <v>-1.6861029542092026E-23</v>
      </c>
      <c r="H5" s="6">
        <f t="shared" si="2"/>
        <v>-4.1024402778812715E-3</v>
      </c>
    </row>
    <row r="6" spans="1:14" x14ac:dyDescent="0.25">
      <c r="A6" s="14">
        <v>4</v>
      </c>
      <c r="B6" t="s">
        <v>40</v>
      </c>
      <c r="C6" s="26">
        <v>4.0499999999999999E-7</v>
      </c>
      <c r="D6" s="26">
        <v>3.1899999999999998E-7</v>
      </c>
      <c r="E6" s="26">
        <v>99320477502.29567</v>
      </c>
      <c r="F6" s="26">
        <f>E6*C6</f>
        <v>40224.793388429745</v>
      </c>
      <c r="G6" s="26">
        <f>(4.57*(10)^-8)/((F6)^3)</f>
        <v>7.0215781500497103E-22</v>
      </c>
      <c r="H6" s="26">
        <f>G6/(4.11*10^-21)</f>
        <v>0.17084131751945769</v>
      </c>
    </row>
    <row r="7" spans="1:14" x14ac:dyDescent="0.25">
      <c r="E7" s="6"/>
      <c r="F7" s="6"/>
      <c r="G7" s="6"/>
      <c r="H7" s="6"/>
    </row>
    <row r="8" spans="1:14" x14ac:dyDescent="0.25">
      <c r="A8" s="15">
        <v>45790</v>
      </c>
      <c r="B8" s="2" t="s">
        <v>45</v>
      </c>
      <c r="E8" s="6"/>
      <c r="F8" s="6"/>
      <c r="G8" s="6"/>
      <c r="H8" s="6"/>
      <c r="N8" s="12">
        <v>2.9845E-8</v>
      </c>
    </row>
    <row r="9" spans="1:14" x14ac:dyDescent="0.25">
      <c r="B9" t="s">
        <v>32</v>
      </c>
      <c r="C9" s="6">
        <v>1.4166999999999999E-4</v>
      </c>
      <c r="D9" s="6"/>
      <c r="E9" s="6">
        <v>99320477502.29567</v>
      </c>
      <c r="F9" s="6">
        <f t="shared" si="0"/>
        <v>14070732.047750227</v>
      </c>
      <c r="G9" s="6">
        <f t="shared" si="1"/>
        <v>1.6404618001068752E-29</v>
      </c>
      <c r="H9" s="6">
        <f t="shared" si="2"/>
        <v>3.9913912411359497E-9</v>
      </c>
      <c r="L9" s="6">
        <v>7.5600000000000005E-7</v>
      </c>
      <c r="N9" s="6">
        <v>2.6983999999999999E-8</v>
      </c>
    </row>
    <row r="10" spans="1:14" x14ac:dyDescent="0.25">
      <c r="B10" t="s">
        <v>19</v>
      </c>
      <c r="C10" s="6">
        <v>3.5658000000000003E-5</v>
      </c>
      <c r="D10" s="6"/>
      <c r="E10" s="6">
        <v>99320477502.29567</v>
      </c>
      <c r="F10" s="6">
        <f t="shared" si="0"/>
        <v>3541569.5867768591</v>
      </c>
      <c r="G10" s="6">
        <f t="shared" si="1"/>
        <v>1.0287950396281961E-27</v>
      </c>
      <c r="H10" s="6">
        <f t="shared" si="2"/>
        <v>2.5031509480004774E-7</v>
      </c>
      <c r="L10" s="6">
        <v>7.7400000000000002E-7</v>
      </c>
      <c r="N10" s="6">
        <v>2.8781999999999999E-7</v>
      </c>
    </row>
    <row r="11" spans="1:14" x14ac:dyDescent="0.25">
      <c r="B11" t="s">
        <v>17</v>
      </c>
      <c r="C11" s="6">
        <v>1.8773000000000001E-5</v>
      </c>
      <c r="D11" s="6"/>
      <c r="E11" s="6">
        <v>99320477502.29567</v>
      </c>
      <c r="F11" s="6">
        <f t="shared" si="0"/>
        <v>1864543.3241505967</v>
      </c>
      <c r="G11" s="6">
        <f t="shared" si="1"/>
        <v>7.0501565890367858E-27</v>
      </c>
      <c r="H11" s="6">
        <f t="shared" si="2"/>
        <v>1.715366566675617E-6</v>
      </c>
      <c r="L11" s="6">
        <v>8.4799999999999997E-7</v>
      </c>
    </row>
    <row r="12" spans="1:14" x14ac:dyDescent="0.25">
      <c r="C12" s="6"/>
      <c r="D12" s="6"/>
      <c r="E12" s="6"/>
      <c r="F12" s="6"/>
      <c r="G12" s="6"/>
      <c r="H12" s="6"/>
    </row>
    <row r="13" spans="1:14" x14ac:dyDescent="0.25">
      <c r="A13" s="15">
        <v>45840</v>
      </c>
      <c r="B13" s="2" t="s">
        <v>53</v>
      </c>
      <c r="C13" s="6"/>
      <c r="D13" s="6"/>
      <c r="E13" s="6"/>
      <c r="F13" s="6"/>
      <c r="G13" s="6"/>
      <c r="H13" s="6"/>
      <c r="N13" s="6">
        <f>AVERAGE(H18,H26,H7)</f>
        <v>213.69638686503731</v>
      </c>
    </row>
    <row r="14" spans="1:14" x14ac:dyDescent="0.25">
      <c r="B14" t="s">
        <v>48</v>
      </c>
      <c r="C14" s="6">
        <v>9.3212999999999992E-9</v>
      </c>
      <c r="D14" s="6">
        <v>1.3799999999999999E-8</v>
      </c>
      <c r="E14" s="6">
        <v>99320477502.29567</v>
      </c>
      <c r="F14" s="6">
        <f t="shared" si="0"/>
        <v>925.79596694214854</v>
      </c>
      <c r="G14" s="6">
        <f t="shared" si="1"/>
        <v>5.7593085550396896E-17</v>
      </c>
      <c r="H14" s="6">
        <f t="shared" si="2"/>
        <v>14012.91619231068</v>
      </c>
    </row>
    <row r="15" spans="1:14" x14ac:dyDescent="0.25">
      <c r="B15" t="s">
        <v>31</v>
      </c>
      <c r="C15" s="6">
        <v>1.2577000000000001E-8</v>
      </c>
      <c r="D15" s="6">
        <v>2.6600000000000002E-19</v>
      </c>
      <c r="E15" s="6">
        <v>99320477502.29567</v>
      </c>
      <c r="F15" s="6">
        <f t="shared" si="0"/>
        <v>1249.1536455463727</v>
      </c>
      <c r="G15" s="6">
        <f t="shared" si="1"/>
        <v>2.3445992449694908E-17</v>
      </c>
      <c r="H15" s="6">
        <f t="shared" si="2"/>
        <v>5704.6210339890295</v>
      </c>
    </row>
    <row r="16" spans="1:14" x14ac:dyDescent="0.25">
      <c r="B16" t="s">
        <v>49</v>
      </c>
      <c r="C16" s="6">
        <v>7.9237999999999995E-9</v>
      </c>
      <c r="D16" s="6">
        <v>8.6900000000000004E-9</v>
      </c>
      <c r="E16" s="6">
        <v>99320477502.29567</v>
      </c>
      <c r="F16" s="6">
        <f t="shared" si="0"/>
        <v>786.99559963269041</v>
      </c>
      <c r="G16" s="6">
        <f t="shared" si="1"/>
        <v>9.3756046952342798E-17</v>
      </c>
      <c r="H16" s="6">
        <f t="shared" si="2"/>
        <v>22811.690256044476</v>
      </c>
    </row>
    <row r="17" spans="1:8" x14ac:dyDescent="0.25">
      <c r="B17" t="s">
        <v>17</v>
      </c>
      <c r="C17" s="6">
        <v>1.4117999999999999E-8</v>
      </c>
      <c r="D17" s="6">
        <v>1.3200000000000001E-8</v>
      </c>
      <c r="E17" s="6">
        <v>99320477502.29567</v>
      </c>
      <c r="F17" s="6">
        <f t="shared" si="0"/>
        <v>1402.2065013774102</v>
      </c>
      <c r="G17" s="6">
        <f t="shared" si="1"/>
        <v>1.6576020335750382E-17</v>
      </c>
      <c r="H17" s="6">
        <f t="shared" si="2"/>
        <v>4033.0949722020396</v>
      </c>
    </row>
    <row r="18" spans="1:8" x14ac:dyDescent="0.25">
      <c r="B18" t="s">
        <v>50</v>
      </c>
      <c r="C18" s="25">
        <v>2.9845E-8</v>
      </c>
      <c r="D18" s="25">
        <v>3.62E-8</v>
      </c>
      <c r="E18" s="21">
        <v>99320477502.29567</v>
      </c>
      <c r="F18" s="21">
        <f>C18*E18</f>
        <v>2964.2196510560143</v>
      </c>
      <c r="G18" s="21">
        <f t="shared" si="1"/>
        <v>1.7546279935347291E-18</v>
      </c>
      <c r="H18" s="21">
        <f>G18/(4.11*10^-21)</f>
        <v>426.9167867481093</v>
      </c>
    </row>
    <row r="19" spans="1:8" x14ac:dyDescent="0.25">
      <c r="B19" t="s">
        <v>51</v>
      </c>
      <c r="C19" s="21">
        <v>4.1500000000000001E-8</v>
      </c>
      <c r="D19" s="21">
        <v>1.5399999999999999E-8</v>
      </c>
      <c r="E19" s="21">
        <v>99320477502.29567</v>
      </c>
      <c r="F19" s="21">
        <f t="shared" si="0"/>
        <v>4121.7998163452703</v>
      </c>
      <c r="G19" s="21">
        <f t="shared" si="1"/>
        <v>6.526126885781888E-19</v>
      </c>
      <c r="H19" s="21">
        <f t="shared" si="2"/>
        <v>158.78654223313598</v>
      </c>
    </row>
    <row r="20" spans="1:8" x14ac:dyDescent="0.25">
      <c r="B20" t="s">
        <v>52</v>
      </c>
      <c r="C20" s="6">
        <v>1.4737999999999999E-8</v>
      </c>
      <c r="D20" s="6">
        <v>6.2600000000000003E-9</v>
      </c>
      <c r="E20" s="6">
        <v>99320477502.29567</v>
      </c>
      <c r="F20" s="6">
        <f t="shared" si="0"/>
        <v>1463.7851974288335</v>
      </c>
      <c r="G20" s="6">
        <f t="shared" si="1"/>
        <v>1.4570825159961767E-17</v>
      </c>
      <c r="H20" s="6">
        <f t="shared" si="2"/>
        <v>3545.2129342972671</v>
      </c>
    </row>
    <row r="21" spans="1:8" x14ac:dyDescent="0.25">
      <c r="E21" s="6"/>
      <c r="F21" s="6"/>
      <c r="G21" s="6"/>
      <c r="H21" s="6"/>
    </row>
    <row r="22" spans="1:8" x14ac:dyDescent="0.25">
      <c r="A22" s="15">
        <v>45855</v>
      </c>
      <c r="B22" s="2" t="s">
        <v>46</v>
      </c>
      <c r="E22" s="6"/>
      <c r="F22" s="6"/>
      <c r="G22" s="6"/>
      <c r="H22" s="6"/>
    </row>
    <row r="23" spans="1:8" x14ac:dyDescent="0.25">
      <c r="B23" t="s">
        <v>30</v>
      </c>
      <c r="C23" s="6">
        <v>1.3919E-6</v>
      </c>
      <c r="D23" s="6">
        <v>1.9999999999999999E-6</v>
      </c>
      <c r="E23" s="6">
        <v>99320477502.29567</v>
      </c>
      <c r="F23" s="6">
        <f t="shared" si="0"/>
        <v>138244.17263544534</v>
      </c>
      <c r="G23" s="6">
        <f t="shared" si="1"/>
        <v>1.7297195699667814E-23</v>
      </c>
      <c r="H23" s="6">
        <f t="shared" si="2"/>
        <v>4.2085634305761106E-3</v>
      </c>
    </row>
    <row r="24" spans="1:8" x14ac:dyDescent="0.25">
      <c r="B24" t="s">
        <v>32</v>
      </c>
      <c r="C24" s="6">
        <v>7.5586999999999995E-7</v>
      </c>
      <c r="D24" s="6">
        <v>6.4300000000000003E-7</v>
      </c>
      <c r="E24" s="6">
        <v>99320477502.29567</v>
      </c>
      <c r="F24" s="6">
        <f t="shared" si="0"/>
        <v>75073.369329660229</v>
      </c>
      <c r="G24" s="6">
        <f t="shared" si="1"/>
        <v>1.0800863489027159E-22</v>
      </c>
      <c r="H24" s="6">
        <f t="shared" si="2"/>
        <v>2.6279473209311822E-2</v>
      </c>
    </row>
    <row r="25" spans="1:8" x14ac:dyDescent="0.25">
      <c r="B25" t="s">
        <v>33</v>
      </c>
      <c r="C25" s="6">
        <v>7.7443999999999999E-7</v>
      </c>
      <c r="D25" s="6">
        <v>1.22E-6</v>
      </c>
      <c r="E25" s="6">
        <v>99320477502.29567</v>
      </c>
      <c r="F25" s="6">
        <f t="shared" si="0"/>
        <v>76917.750596877857</v>
      </c>
      <c r="G25" s="6">
        <f t="shared" si="1"/>
        <v>1.0042375925388884E-22</v>
      </c>
      <c r="H25" s="6">
        <f t="shared" si="2"/>
        <v>2.4434004684644489E-2</v>
      </c>
    </row>
    <row r="26" spans="1:8" x14ac:dyDescent="0.25">
      <c r="B26" t="s">
        <v>19</v>
      </c>
      <c r="C26" s="21">
        <v>2.8781999999999999E-7</v>
      </c>
      <c r="D26" s="21">
        <v>4.2E-7</v>
      </c>
      <c r="E26" s="21">
        <v>99320477502.29567</v>
      </c>
      <c r="F26" s="21">
        <f>C26*E26</f>
        <v>28586.419834710738</v>
      </c>
      <c r="G26" s="21">
        <f t="shared" si="1"/>
        <v>1.9563064958775552E-21</v>
      </c>
      <c r="H26" s="21">
        <f>G26/(4.11*10^-21)</f>
        <v>0.47598698196534195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7" max="7" width="11.28515625" bestFit="1" customWidth="1"/>
  </cols>
  <sheetData>
    <row r="1" spans="1:8" x14ac:dyDescent="0.25">
      <c r="A1" s="2" t="s">
        <v>41</v>
      </c>
      <c r="B1" s="2" t="s">
        <v>42</v>
      </c>
      <c r="C1" s="2" t="s">
        <v>10</v>
      </c>
      <c r="D1" s="2" t="s">
        <v>87</v>
      </c>
      <c r="E1" s="8" t="s">
        <v>11</v>
      </c>
      <c r="F1" s="7" t="s">
        <v>12</v>
      </c>
      <c r="G1" s="8" t="s">
        <v>13</v>
      </c>
      <c r="H1" s="8" t="s">
        <v>81</v>
      </c>
    </row>
    <row r="2" spans="1:8" x14ac:dyDescent="0.25">
      <c r="A2" s="15">
        <v>45840</v>
      </c>
      <c r="B2" s="2" t="s">
        <v>60</v>
      </c>
    </row>
    <row r="3" spans="1:8" x14ac:dyDescent="0.25">
      <c r="B3" s="22" t="s">
        <v>47</v>
      </c>
      <c r="C3" s="21">
        <v>2.2869999999999999E-8</v>
      </c>
      <c r="D3" s="21">
        <v>2.2600000000000001E-8</v>
      </c>
      <c r="E3" s="21">
        <v>99320477502.29567</v>
      </c>
      <c r="F3" s="21">
        <f>E3*C3</f>
        <v>2271.4593204775019</v>
      </c>
      <c r="G3" s="21">
        <f>(4.57*(10)^-8)/((F3)^3)</f>
        <v>3.8994316264645908E-18</v>
      </c>
      <c r="H3" s="21">
        <f>G3/(4.11*10^-21)</f>
        <v>948.76681909114131</v>
      </c>
    </row>
    <row r="4" spans="1:8" x14ac:dyDescent="0.25">
      <c r="B4" s="22" t="s">
        <v>32</v>
      </c>
      <c r="C4" s="24">
        <v>1.0181999999999999E-7</v>
      </c>
      <c r="D4" s="24">
        <v>8.2000000000000006E-8</v>
      </c>
      <c r="E4" s="21">
        <v>99320477502.29567</v>
      </c>
      <c r="F4" s="21">
        <f t="shared" ref="F4:F5" si="0">E4*C4</f>
        <v>10112.811019283745</v>
      </c>
      <c r="G4" s="21">
        <f t="shared" ref="G4:G5" si="1">(4.57*(10)^-8)/((F4)^3)</f>
        <v>4.4187611340172987E-20</v>
      </c>
      <c r="H4" s="21">
        <f t="shared" ref="H4:H5" si="2">G4/(4.11*10^-21)</f>
        <v>10.751243635078586</v>
      </c>
    </row>
    <row r="5" spans="1:8" x14ac:dyDescent="0.25">
      <c r="B5" s="22" t="s">
        <v>19</v>
      </c>
      <c r="C5" s="24">
        <v>7.0081000000000004E-8</v>
      </c>
      <c r="D5" s="24">
        <v>6.8099999999999994E-8</v>
      </c>
      <c r="E5" s="21">
        <v>99320477502.29567</v>
      </c>
      <c r="F5" s="21">
        <f t="shared" si="0"/>
        <v>6960.4783838383828</v>
      </c>
      <c r="G5" s="21">
        <f t="shared" si="1"/>
        <v>1.3551860822966267E-19</v>
      </c>
      <c r="H5" s="21">
        <f t="shared" si="2"/>
        <v>32.972897379479967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9.140625" bestFit="1" customWidth="1"/>
    <col min="2" max="2" width="13.28515625" bestFit="1" customWidth="1"/>
    <col min="8" max="8" width="11.28515625" bestFit="1" customWidth="1"/>
  </cols>
  <sheetData>
    <row r="1" spans="1:9" x14ac:dyDescent="0.25">
      <c r="A1" s="2" t="s">
        <v>41</v>
      </c>
      <c r="B1" s="2" t="s">
        <v>42</v>
      </c>
      <c r="C1" s="2" t="s">
        <v>10</v>
      </c>
      <c r="D1" s="2" t="s">
        <v>86</v>
      </c>
      <c r="E1" s="2"/>
      <c r="F1" s="8" t="s">
        <v>11</v>
      </c>
      <c r="G1" s="7" t="s">
        <v>12</v>
      </c>
      <c r="H1" s="8" t="s">
        <v>13</v>
      </c>
      <c r="I1" s="8" t="s">
        <v>81</v>
      </c>
    </row>
    <row r="2" spans="1:9" x14ac:dyDescent="0.25">
      <c r="A2" s="15">
        <v>45775</v>
      </c>
      <c r="B2" s="2" t="s">
        <v>59</v>
      </c>
    </row>
    <row r="3" spans="1:9" x14ac:dyDescent="0.25">
      <c r="B3" s="16" t="s">
        <v>17</v>
      </c>
      <c r="C3" s="17">
        <v>1.0325E-7</v>
      </c>
      <c r="D3" s="17"/>
      <c r="E3" s="17"/>
      <c r="F3" s="6">
        <v>99320477502.29567</v>
      </c>
    </row>
    <row r="4" spans="1:9" x14ac:dyDescent="0.25">
      <c r="B4" s="16" t="s">
        <v>54</v>
      </c>
      <c r="C4" s="21">
        <v>5.8500000000000001E-8</v>
      </c>
      <c r="D4" s="21">
        <v>5.7100000000000002E-8</v>
      </c>
      <c r="F4" s="21">
        <v>99320477502.29567</v>
      </c>
      <c r="G4" s="21">
        <f>F4*C4</f>
        <v>5810.2479338842968</v>
      </c>
      <c r="H4" s="21">
        <f>(4.57*(10)^-8)/((G4)^3)</f>
        <v>2.3298727680410737E-19</v>
      </c>
      <c r="I4" s="21">
        <f>H4/(4.11*10^-21)</f>
        <v>56.687901898809578</v>
      </c>
    </row>
    <row r="5" spans="1:9" x14ac:dyDescent="0.25">
      <c r="B5" s="16" t="s">
        <v>55</v>
      </c>
      <c r="C5" s="6">
        <v>1.8433999999999999E-7</v>
      </c>
      <c r="D5" s="6"/>
      <c r="E5" s="6"/>
      <c r="F5" s="6">
        <v>99320477502.29567</v>
      </c>
      <c r="G5" s="6"/>
      <c r="H5" s="6"/>
      <c r="I5" s="6"/>
    </row>
    <row r="6" spans="1:9" x14ac:dyDescent="0.25">
      <c r="B6" s="16" t="s">
        <v>56</v>
      </c>
      <c r="C6" s="21">
        <v>3.8299999999999999E-8</v>
      </c>
      <c r="D6" s="21">
        <v>2.9899999999999998E-9</v>
      </c>
      <c r="F6" s="21">
        <v>99320477502.2957</v>
      </c>
      <c r="G6" s="21">
        <f>F6*C6</f>
        <v>3803.9742883379254</v>
      </c>
      <c r="H6" s="21">
        <f t="shared" ref="H6" si="0">(4.57*(10)^-8)/((G6)^3)</f>
        <v>8.3023967173810045E-19</v>
      </c>
      <c r="I6" s="21">
        <f t="shared" ref="I6:I7" si="1">H6/(4.11*10^-21)</f>
        <v>202.00478631097334</v>
      </c>
    </row>
    <row r="7" spans="1:9" x14ac:dyDescent="0.25">
      <c r="B7" s="16" t="s">
        <v>57</v>
      </c>
      <c r="C7" s="21">
        <v>6.6399999999999999E-8</v>
      </c>
      <c r="D7" s="21">
        <v>6.6399999999999999E-8</v>
      </c>
      <c r="F7" s="21">
        <v>99320477502.2957</v>
      </c>
      <c r="G7" s="21">
        <f>F7*C7</f>
        <v>6594.8797061524347</v>
      </c>
      <c r="H7" s="21">
        <f>(4.57*(10)^-8)/((G7)^3)</f>
        <v>1.5932926967240921E-19</v>
      </c>
      <c r="I7" s="21">
        <f t="shared" si="1"/>
        <v>38.766245662386673</v>
      </c>
    </row>
    <row r="8" spans="1:9" x14ac:dyDescent="0.25">
      <c r="B8" s="16" t="s">
        <v>58</v>
      </c>
      <c r="C8" s="17">
        <v>1.4737999999999999E-7</v>
      </c>
      <c r="D8" s="17"/>
      <c r="E8" s="17"/>
      <c r="F8" s="6">
        <v>99320477502.2957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zoomScale="115" zoomScaleNormal="115" workbookViewId="0">
      <selection activeCell="L16" sqref="L16"/>
    </sheetView>
  </sheetViews>
  <sheetFormatPr defaultRowHeight="15" x14ac:dyDescent="0.25"/>
  <cols>
    <col min="2" max="2" width="14.7109375" bestFit="1" customWidth="1"/>
    <col min="8" max="8" width="12.5703125" bestFit="1" customWidth="1"/>
    <col min="17" max="17" width="11.28515625" bestFit="1" customWidth="1"/>
  </cols>
  <sheetData>
    <row r="1" spans="1:17" x14ac:dyDescent="0.25">
      <c r="B1" s="2" t="s">
        <v>82</v>
      </c>
      <c r="C1" s="2" t="s">
        <v>10</v>
      </c>
      <c r="D1" s="8" t="s">
        <v>11</v>
      </c>
      <c r="E1" s="2" t="s">
        <v>12</v>
      </c>
      <c r="F1" s="8" t="s">
        <v>80</v>
      </c>
      <c r="G1" s="8" t="s">
        <v>81</v>
      </c>
      <c r="H1" s="2"/>
      <c r="L1" t="s">
        <v>84</v>
      </c>
      <c r="M1" s="2" t="s">
        <v>82</v>
      </c>
      <c r="N1" s="2" t="s">
        <v>10</v>
      </c>
    </row>
    <row r="2" spans="1:17" x14ac:dyDescent="0.25">
      <c r="A2" s="2" t="s">
        <v>75</v>
      </c>
      <c r="B2" s="2">
        <v>3</v>
      </c>
      <c r="C2" s="6">
        <v>7.1799999999999994E-8</v>
      </c>
      <c r="D2" s="6">
        <v>99320477502.29567</v>
      </c>
      <c r="E2" s="6">
        <f>C2*D2</f>
        <v>7131.2102846648286</v>
      </c>
      <c r="F2" s="6">
        <f>(4.57*(10)^-8)/((E2)^3)</f>
        <v>1.2601622652883607E-19</v>
      </c>
      <c r="G2" s="20">
        <f>F2/(4.11*10^-21)</f>
        <v>30.660882367113402</v>
      </c>
      <c r="H2">
        <v>50.56</v>
      </c>
      <c r="I2">
        <v>4.9000000000000004</v>
      </c>
      <c r="J2">
        <v>25</v>
      </c>
      <c r="L2" s="2" t="s">
        <v>75</v>
      </c>
    </row>
    <row r="3" spans="1:17" x14ac:dyDescent="0.25">
      <c r="A3" s="2" t="s">
        <v>76</v>
      </c>
      <c r="B3" s="2">
        <v>3</v>
      </c>
      <c r="C3" s="6">
        <v>9.1699999999999994E-8</v>
      </c>
      <c r="D3" s="6">
        <v>99320477502.29567</v>
      </c>
      <c r="E3" s="6">
        <f t="shared" ref="E3:E6" si="0">C3*D3</f>
        <v>9107.6877869605123</v>
      </c>
      <c r="F3" s="6">
        <f>(4.57*(10)^-8)/((E3)^3)</f>
        <v>6.0491143809638867E-20</v>
      </c>
      <c r="G3" s="20">
        <f>F3/(4.11*10^-21)</f>
        <v>14.718039856359823</v>
      </c>
      <c r="H3">
        <v>33.6</v>
      </c>
      <c r="I3">
        <v>1.379</v>
      </c>
      <c r="J3">
        <f>I3*5</f>
        <v>6.8949999999999996</v>
      </c>
      <c r="L3" s="2" t="s">
        <v>76</v>
      </c>
    </row>
    <row r="4" spans="1:17" x14ac:dyDescent="0.25">
      <c r="A4" s="2" t="s">
        <v>77</v>
      </c>
      <c r="B4" s="2">
        <v>3</v>
      </c>
      <c r="C4" s="6">
        <v>1.15E-7</v>
      </c>
      <c r="D4" s="6">
        <v>99320477502.29567</v>
      </c>
      <c r="E4" s="6">
        <f t="shared" si="0"/>
        <v>11421.854912764002</v>
      </c>
      <c r="F4" s="6">
        <f t="shared" ref="F4:F6" si="1">(4.57*(10)^-8)/((E4)^3)</f>
        <v>3.0669470811544084E-20</v>
      </c>
      <c r="G4" s="20">
        <f t="shared" ref="G4:G6" si="2">F4/(4.11*10^-21)</f>
        <v>7.4621583483075637</v>
      </c>
      <c r="H4">
        <v>143</v>
      </c>
      <c r="I4">
        <v>0.27</v>
      </c>
      <c r="J4">
        <f>I4*5</f>
        <v>1.35</v>
      </c>
      <c r="L4" s="2" t="s">
        <v>77</v>
      </c>
    </row>
    <row r="5" spans="1:17" x14ac:dyDescent="0.25">
      <c r="A5" s="2" t="s">
        <v>78</v>
      </c>
      <c r="B5" s="2">
        <v>3</v>
      </c>
      <c r="C5" s="6">
        <v>6.4900000000000005E-8</v>
      </c>
      <c r="D5" s="6">
        <v>99320477502.29567</v>
      </c>
      <c r="E5" s="6">
        <f>C5*D5</f>
        <v>6445.8989898989894</v>
      </c>
      <c r="F5" s="6">
        <f>(4.57*(10)^-8)/((E5)^3)</f>
        <v>1.7063405560386207E-19</v>
      </c>
      <c r="G5" s="20">
        <f>F5/(4.11*10^-21)</f>
        <v>41.516801850088093</v>
      </c>
      <c r="H5">
        <v>331</v>
      </c>
      <c r="I5">
        <v>5.56</v>
      </c>
      <c r="J5">
        <f t="shared" ref="J5:J6" si="3">I5*5</f>
        <v>27.799999999999997</v>
      </c>
      <c r="L5" s="2" t="s">
        <v>78</v>
      </c>
    </row>
    <row r="6" spans="1:17" x14ac:dyDescent="0.25">
      <c r="A6" s="2" t="s">
        <v>79</v>
      </c>
      <c r="B6" s="2">
        <v>3</v>
      </c>
      <c r="C6" s="19">
        <v>7.4600000000000006E-8</v>
      </c>
      <c r="D6" s="6">
        <v>99320477502.29567</v>
      </c>
      <c r="E6" s="6">
        <f t="shared" si="0"/>
        <v>7409.3076216712579</v>
      </c>
      <c r="F6" s="6">
        <f t="shared" si="1"/>
        <v>1.1235265020335892E-19</v>
      </c>
      <c r="G6" s="20">
        <f t="shared" si="2"/>
        <v>27.33641124169317</v>
      </c>
      <c r="H6">
        <v>38.4</v>
      </c>
      <c r="I6">
        <v>4.2</v>
      </c>
      <c r="J6">
        <f t="shared" si="3"/>
        <v>21</v>
      </c>
      <c r="L6" s="2" t="s">
        <v>79</v>
      </c>
      <c r="M6" s="6">
        <v>1.17E-7</v>
      </c>
    </row>
    <row r="10" spans="1:17" x14ac:dyDescent="0.25">
      <c r="B10" t="s">
        <v>83</v>
      </c>
      <c r="C10" s="6">
        <v>27000000000</v>
      </c>
      <c r="D10" s="6">
        <v>60000000000</v>
      </c>
      <c r="E10" s="6">
        <v>970000000000</v>
      </c>
      <c r="F10" s="6">
        <v>100000000000</v>
      </c>
    </row>
    <row r="11" spans="1:17" x14ac:dyDescent="0.25">
      <c r="Q11">
        <f>3300/0.0002</f>
        <v>16500000</v>
      </c>
    </row>
    <row r="12" spans="1:17" x14ac:dyDescent="0.25">
      <c r="Q12">
        <f>Q11*Q11</f>
        <v>272250000000000</v>
      </c>
    </row>
    <row r="17" spans="8:9" x14ac:dyDescent="0.25">
      <c r="I17" t="s">
        <v>85</v>
      </c>
    </row>
    <row r="18" spans="8:9" x14ac:dyDescent="0.25">
      <c r="H18">
        <f>1040/0.0033</f>
        <v>315151.51515151514</v>
      </c>
    </row>
    <row r="19" spans="8:9" x14ac:dyDescent="0.25">
      <c r="H19" s="6">
        <f>H18^2</f>
        <v>99320477502.29567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OT data list</vt:lpstr>
      <vt:lpstr>Control</vt:lpstr>
      <vt:lpstr>Monomer 10 μM</vt:lpstr>
      <vt:lpstr>Monomer 30 μM</vt:lpstr>
      <vt:lpstr>Fibrils 10 μM</vt:lpstr>
      <vt:lpstr>Fibrils 30 μM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Narendran</dc:creator>
  <cp:lastModifiedBy>Optical Tweezer</cp:lastModifiedBy>
  <dcterms:created xsi:type="dcterms:W3CDTF">2015-06-05T18:17:20Z</dcterms:created>
  <dcterms:modified xsi:type="dcterms:W3CDTF">2026-02-14T12:50:53Z</dcterms:modified>
</cp:coreProperties>
</file>